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46231</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46231</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46231</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46231</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46231</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46231</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46231</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46231</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46231</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46231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46231</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46231</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46231</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46231</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46231</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46231</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46231</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46231</v>
      </c>
      <c r="F26" t="inlineStr">
        <is>
          <t>KALMAR LÄN</t>
        </is>
      </c>
      <c r="G26" t="inlineStr">
        <is>
          <t>KALMAR</t>
        </is>
      </c>
      <c r="I26" t="n">
        <v>1.9</v>
      </c>
      <c r="J26" t="n">
        <v>5</v>
      </c>
      <c r="K26" t="n">
        <v>0</v>
      </c>
      <c r="L26" t="n">
        <v>4</v>
      </c>
      <c r="M26" t="n">
        <v>0</v>
      </c>
      <c r="N26" t="n">
        <v>0</v>
      </c>
      <c r="O26" t="n">
        <v>0</v>
      </c>
      <c r="P26" t="n">
        <v>0</v>
      </c>
      <c r="Q26" t="n">
        <v>4</v>
      </c>
      <c r="R26" t="n">
        <v>0</v>
      </c>
      <c r="S26" t="n">
        <v>5</v>
      </c>
      <c r="T26" t="n">
        <v>5</v>
      </c>
      <c r="U26" t="n">
        <v>0</v>
      </c>
      <c r="V26" s="2" t="inlineStr">
        <is>
          <t>Barbastell
Brunlångöra
Fransfladdermus
Nordfladdermus
Dvärgpipistrell</t>
        </is>
      </c>
      <c r="W26">
        <f>HYPERLINK("https://klasma.github.io/Logging_0880/artfynd/A 12935-2026 artfynd.xlsx", "A 12935-2026")</f>
        <v/>
      </c>
      <c r="X26">
        <f>HYPERLINK("https://klasma.github.io/Logging_0880/kartor/A 12935-2026 karta.png", "A 12935-2026")</f>
        <v/>
      </c>
      <c r="Y26">
        <f>HYPERLINK("https://klasma.github.io/Logging_0880/kartor_geotiff/A 12935-2026 georefererad karta.tif", "A 12935-2026")</f>
        <v/>
      </c>
      <c r="AA26">
        <f>HYPERLINK("https://klasma.github.io/Logging_0880/klagomål/A 12935-2026 FSC-klagomål.docx", "A 12935-2026")</f>
        <v/>
      </c>
      <c r="AB26">
        <f>HYPERLINK("https://klasma.github.io/Logging_0880/klagomålsmail/A 12935-2026 FSC-klagomål mail.docx", "A 12935-2026")</f>
        <v/>
      </c>
      <c r="AC26">
        <f>HYPERLINK("https://klasma.github.io/Logging_0880/tillsyn/A 12935-2026 tillsynsbegäran.docx", "A 12935-2026")</f>
        <v/>
      </c>
      <c r="AD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46231</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46231</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46231</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46231</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46231</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46231</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47451-2022</t>
        </is>
      </c>
      <c r="B33" t="inlineStr">
        <is>
          <t>avverkningsanmälan</t>
        </is>
      </c>
      <c r="C33" t="inlineStr">
        <is>
          <t>Föryngringsavverkning</t>
        </is>
      </c>
      <c r="D33" s="1" t="n">
        <v>44853</v>
      </c>
      <c r="E33" s="1" t="n">
        <v>46231</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11409-2023</t>
        </is>
      </c>
      <c r="B34" t="inlineStr">
        <is>
          <t>avverkningsanmälan</t>
        </is>
      </c>
      <c r="C34" t="inlineStr">
        <is>
          <t>Föryngringsavverkning</t>
        </is>
      </c>
      <c r="D34" s="1" t="n">
        <v>44993</v>
      </c>
      <c r="E34" s="1" t="n">
        <v>46231</v>
      </c>
      <c r="F34" t="inlineStr">
        <is>
          <t>KALMAR LÄN</t>
        </is>
      </c>
      <c r="G34" t="inlineStr">
        <is>
          <t>KALMAR</t>
        </is>
      </c>
      <c r="I34" t="n">
        <v>7.6</v>
      </c>
      <c r="J34" t="n">
        <v>2</v>
      </c>
      <c r="K34" t="n">
        <v>1</v>
      </c>
      <c r="L34" t="n">
        <v>2</v>
      </c>
      <c r="M34" t="n">
        <v>1</v>
      </c>
      <c r="N34" t="n">
        <v>0</v>
      </c>
      <c r="O34" t="n">
        <v>0</v>
      </c>
      <c r="P34" t="n">
        <v>0</v>
      </c>
      <c r="Q34" t="n">
        <v>3</v>
      </c>
      <c r="R34" t="n">
        <v>1</v>
      </c>
      <c r="S34" t="n">
        <v>4</v>
      </c>
      <c r="T34" t="n">
        <v>4</v>
      </c>
      <c r="U34" t="n">
        <v>2</v>
      </c>
      <c r="V34" s="2" t="inlineStr">
        <is>
          <t>Gullvivefjäril
Gullklöver
Nordfladdermus
Ekoxe</t>
        </is>
      </c>
      <c r="W34">
        <f>HYPERLINK("https://klasma.github.io/Logging_0880/artfynd/A 11409-2023 artfynd.xlsx", "A 11409-2023")</f>
        <v/>
      </c>
      <c r="X34">
        <f>HYPERLINK("https://klasma.github.io/Logging_0880/kartor/A 11409-2023 karta.png", "A 11409-2023")</f>
        <v/>
      </c>
      <c r="Y34">
        <f>HYPERLINK("https://klasma.github.io/Logging_0880/kartor_geotiff/A 11409-2023 georefererad karta.tif", "A 11409-2023")</f>
        <v/>
      </c>
      <c r="AA34">
        <f>HYPERLINK("https://klasma.github.io/Logging_0880/klagomål/A 11409-2023 FSC-klagomål.docx", "A 11409-2023")</f>
        <v/>
      </c>
      <c r="AB34">
        <f>HYPERLINK("https://klasma.github.io/Logging_0880/klagomålsmail/A 11409-2023 FSC-klagomål mail.docx", "A 11409-2023")</f>
        <v/>
      </c>
      <c r="AC34">
        <f>HYPERLINK("https://klasma.github.io/Logging_0880/tillsyn/A 11409-2023 tillsynsbegäran.docx", "A 11409-2023")</f>
        <v/>
      </c>
      <c r="AD34">
        <f>HYPERLINK("https://klasma.github.io/Logging_0880/tillsynsmail/A 11409-2023 tillsynsbegäran mail.docx", "A 11409-2023")</f>
        <v/>
      </c>
    </row>
    <row r="35" ht="15" customHeight="1">
      <c r="A35" t="inlineStr">
        <is>
          <t>A 9055-2023</t>
        </is>
      </c>
      <c r="B35" t="inlineStr">
        <is>
          <t>avverkningsanmälan</t>
        </is>
      </c>
      <c r="C35" t="inlineStr">
        <is>
          <t>Föryngringsavverkning</t>
        </is>
      </c>
      <c r="D35" s="1" t="n">
        <v>44979</v>
      </c>
      <c r="E35" s="1" t="n">
        <v>46231</v>
      </c>
      <c r="F35" t="inlineStr">
        <is>
          <t>KALMAR LÄN</t>
        </is>
      </c>
      <c r="G35" t="inlineStr">
        <is>
          <t>KALMAR</t>
        </is>
      </c>
      <c r="I35" t="n">
        <v>3</v>
      </c>
      <c r="J35" t="n">
        <v>4</v>
      </c>
      <c r="K35" t="n">
        <v>0</v>
      </c>
      <c r="L35" t="n">
        <v>1</v>
      </c>
      <c r="M35" t="n">
        <v>0</v>
      </c>
      <c r="N35" t="n">
        <v>0</v>
      </c>
      <c r="O35" t="n">
        <v>0</v>
      </c>
      <c r="P35" t="n">
        <v>0</v>
      </c>
      <c r="Q35" t="n">
        <v>1</v>
      </c>
      <c r="R35" t="n">
        <v>0</v>
      </c>
      <c r="S35" t="n">
        <v>4</v>
      </c>
      <c r="T35" t="n">
        <v>4</v>
      </c>
      <c r="U35" t="n">
        <v>0</v>
      </c>
      <c r="V35" s="2" t="inlineStr">
        <is>
          <t>Nordfladdermus
Dvärgpipistrell
Större brunfladdermus
Vattenfladdermus</t>
        </is>
      </c>
      <c r="W35">
        <f>HYPERLINK("https://klasma.github.io/Logging_0880/artfynd/A 9055-2023 artfynd.xlsx", "A 9055-2023")</f>
        <v/>
      </c>
      <c r="X35">
        <f>HYPERLINK("https://klasma.github.io/Logging_0880/kartor/A 9055-2023 karta.png", "A 9055-2023")</f>
        <v/>
      </c>
      <c r="Y35">
        <f>HYPERLINK("https://klasma.github.io/Logging_0880/kartor_geotiff/A 9055-2023 georefererad karta.tif", "A 9055-2023")</f>
        <v/>
      </c>
      <c r="AA35">
        <f>HYPERLINK("https://klasma.github.io/Logging_0880/klagomål/A 9055-2023 FSC-klagomål.docx", "A 9055-2023")</f>
        <v/>
      </c>
      <c r="AB35">
        <f>HYPERLINK("https://klasma.github.io/Logging_0880/klagomålsmail/A 9055-2023 FSC-klagomål mail.docx", "A 9055-2023")</f>
        <v/>
      </c>
      <c r="AC35">
        <f>HYPERLINK("https://klasma.github.io/Logging_0880/tillsyn/A 9055-2023 tillsynsbegäran.docx", "A 9055-2023")</f>
        <v/>
      </c>
      <c r="AD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46231</v>
      </c>
      <c r="F36" t="inlineStr">
        <is>
          <t>KALMAR LÄN</t>
        </is>
      </c>
      <c r="G36" t="inlineStr">
        <is>
          <t>KALMAR</t>
        </is>
      </c>
      <c r="I36" t="n">
        <v>3.3</v>
      </c>
      <c r="J36" t="n">
        <v>1</v>
      </c>
      <c r="K36" t="n">
        <v>0</v>
      </c>
      <c r="L36" t="n">
        <v>3</v>
      </c>
      <c r="M36" t="n">
        <v>0</v>
      </c>
      <c r="N36" t="n">
        <v>0</v>
      </c>
      <c r="O36" t="n">
        <v>0</v>
      </c>
      <c r="P36" t="n">
        <v>0</v>
      </c>
      <c r="Q36" t="n">
        <v>3</v>
      </c>
      <c r="R36" t="n">
        <v>0</v>
      </c>
      <c r="S36" t="n">
        <v>4</v>
      </c>
      <c r="T36" t="n">
        <v>4</v>
      </c>
      <c r="U36" t="n">
        <v>4</v>
      </c>
      <c r="V36" s="2" t="inlineStr">
        <is>
          <t>Jungfrulin
Solvända
Vårstarr
Nattviol</t>
        </is>
      </c>
      <c r="W36">
        <f>HYPERLINK("https://klasma.github.io/Logging_0880/artfynd/A 59457-2023 artfynd.xlsx", "A 59457-2023")</f>
        <v/>
      </c>
      <c r="X36">
        <f>HYPERLINK("https://klasma.github.io/Logging_0880/kartor/A 59457-2023 karta.png", "A 59457-2023")</f>
        <v/>
      </c>
      <c r="Y36">
        <f>HYPERLINK("https://klasma.github.io/Logging_0880/kartor_geotiff/A 59457-2023 georefererad karta.tif", "A 59457-2023")</f>
        <v/>
      </c>
      <c r="AA36">
        <f>HYPERLINK("https://klasma.github.io/Logging_0880/klagomål/A 59457-2023 FSC-klagomål.docx", "A 59457-2023")</f>
        <v/>
      </c>
      <c r="AB36">
        <f>HYPERLINK("https://klasma.github.io/Logging_0880/klagomålsmail/A 59457-2023 FSC-klagomål mail.docx", "A 59457-2023")</f>
        <v/>
      </c>
      <c r="AC36">
        <f>HYPERLINK("https://klasma.github.io/Logging_0880/tillsyn/A 59457-2023 tillsynsbegäran.docx", "A 59457-2023")</f>
        <v/>
      </c>
      <c r="AD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46231</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46231</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46231</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46231</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46231</v>
      </c>
      <c r="F41" t="inlineStr">
        <is>
          <t>KALMAR LÄN</t>
        </is>
      </c>
      <c r="G41" t="inlineStr">
        <is>
          <t>KALMAR</t>
        </is>
      </c>
      <c r="I41" t="n">
        <v>4.4</v>
      </c>
      <c r="J41" t="n">
        <v>3</v>
      </c>
      <c r="K41" t="n">
        <v>0</v>
      </c>
      <c r="L41" t="n">
        <v>1</v>
      </c>
      <c r="M41" t="n">
        <v>0</v>
      </c>
      <c r="N41" t="n">
        <v>0</v>
      </c>
      <c r="O41" t="n">
        <v>0</v>
      </c>
      <c r="P41" t="n">
        <v>0</v>
      </c>
      <c r="Q41" t="n">
        <v>1</v>
      </c>
      <c r="R41" t="n">
        <v>0</v>
      </c>
      <c r="S41" t="n">
        <v>3</v>
      </c>
      <c r="T41" t="n">
        <v>3</v>
      </c>
      <c r="U41" t="n">
        <v>0</v>
      </c>
      <c r="V41" s="2" t="inlineStr">
        <is>
          <t>Nordfladdermus
Dvärgpipistrell
Större brunfladdermus</t>
        </is>
      </c>
      <c r="W41">
        <f>HYPERLINK("https://klasma.github.io/Logging_0880/artfynd/A 39253-2021 artfynd.xlsx", "A 39253-2021")</f>
        <v/>
      </c>
      <c r="X41">
        <f>HYPERLINK("https://klasma.github.io/Logging_0880/kartor/A 39253-2021 karta.png", "A 39253-2021")</f>
        <v/>
      </c>
      <c r="Y41">
        <f>HYPERLINK("https://klasma.github.io/Logging_0880/kartor_geotiff/A 39253-2021 georefererad karta.tif", "A 39253-2021")</f>
        <v/>
      </c>
      <c r="AA41">
        <f>HYPERLINK("https://klasma.github.io/Logging_0880/klagomål/A 39253-2021 FSC-klagomål.docx", "A 39253-2021")</f>
        <v/>
      </c>
      <c r="AB41">
        <f>HYPERLINK("https://klasma.github.io/Logging_0880/klagomålsmail/A 39253-2021 FSC-klagomål mail.docx", "A 39253-2021")</f>
        <v/>
      </c>
      <c r="AC41">
        <f>HYPERLINK("https://klasma.github.io/Logging_0880/tillsyn/A 39253-2021 tillsynsbegäran.docx", "A 39253-2021")</f>
        <v/>
      </c>
      <c r="AD41">
        <f>HYPERLINK("https://klasma.github.io/Logging_0880/tillsynsmail/A 39253-2021 tillsynsbegäran mail.docx", "A 39253-2021")</f>
        <v/>
      </c>
    </row>
    <row r="42" ht="15" customHeight="1">
      <c r="A42" t="inlineStr">
        <is>
          <t>A 31781-2023</t>
        </is>
      </c>
      <c r="B42" t="inlineStr">
        <is>
          <t>avverkningsanmälan</t>
        </is>
      </c>
      <c r="C42" t="inlineStr">
        <is>
          <t>Föryngringsavverkning</t>
        </is>
      </c>
      <c r="D42" s="1" t="n">
        <v>45118</v>
      </c>
      <c r="E42" s="1" t="n">
        <v>46231</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1933-2022</t>
        </is>
      </c>
      <c r="B43" t="inlineStr">
        <is>
          <t>avverkningsanmälan</t>
        </is>
      </c>
      <c r="C43" t="inlineStr">
        <is>
          <t>Föryngringsavverkning</t>
        </is>
      </c>
      <c r="D43" s="1" t="n">
        <v>44575</v>
      </c>
      <c r="E43" s="1" t="n">
        <v>46231</v>
      </c>
      <c r="F43" t="inlineStr">
        <is>
          <t>KALMAR LÄN</t>
        </is>
      </c>
      <c r="G43" t="inlineStr">
        <is>
          <t>KALMAR</t>
        </is>
      </c>
      <c r="I43" t="n">
        <v>3.3</v>
      </c>
      <c r="J43" t="n">
        <v>1</v>
      </c>
      <c r="K43" t="n">
        <v>2</v>
      </c>
      <c r="L43" t="n">
        <v>0</v>
      </c>
      <c r="M43" t="n">
        <v>1</v>
      </c>
      <c r="N43" t="n">
        <v>0</v>
      </c>
      <c r="O43" t="n">
        <v>0</v>
      </c>
      <c r="P43" t="n">
        <v>0</v>
      </c>
      <c r="Q43" t="n">
        <v>1</v>
      </c>
      <c r="R43" t="n">
        <v>1</v>
      </c>
      <c r="S43" t="n">
        <v>3</v>
      </c>
      <c r="T43" t="n">
        <v>8</v>
      </c>
      <c r="U43" t="n">
        <v>8</v>
      </c>
      <c r="V43" s="2" t="inlineStr">
        <is>
          <t>Knärot
Brandticka
Grovticka</t>
        </is>
      </c>
      <c r="W43">
        <f>HYPERLINK("https://klasma.github.io/Logging_0880/artfynd/A 1933-2022 artfynd.xlsx", "A 1933-2022")</f>
        <v/>
      </c>
      <c r="X43">
        <f>HYPERLINK("https://klasma.github.io/Logging_0880/kartor/A 1933-2022 karta.png", "A 1933-2022")</f>
        <v/>
      </c>
      <c r="Y43">
        <f>HYPERLINK("https://klasma.github.io/Logging_0880/kartor_geotiff/A 1933-2022 georefererad karta.tif", "A 1933-2022")</f>
        <v/>
      </c>
      <c r="Z43">
        <f>HYPERLINK("https://klasma.github.io/Logging_0880/knärot/A 1933-2022 karta knärot.png", "A 1933-2022")</f>
        <v/>
      </c>
      <c r="AA43">
        <f>HYPERLINK("https://klasma.github.io/Logging_0880/klagomål/A 1933-2022 FSC-klagomål.docx", "A 1933-2022")</f>
        <v/>
      </c>
      <c r="AB43">
        <f>HYPERLINK("https://klasma.github.io/Logging_0880/klagomålsmail/A 1933-2022 FSC-klagomål mail.docx", "A 1933-2022")</f>
        <v/>
      </c>
      <c r="AC43">
        <f>HYPERLINK("https://klasma.github.io/Logging_0880/tillsyn/A 1933-2022 tillsynsbegäran.docx", "A 1933-2022")</f>
        <v/>
      </c>
      <c r="AD43">
        <f>HYPERLINK("https://klasma.github.io/Logging_0880/tillsynsmail/A 1933-2022 tillsynsbegäran mail.docx", "A 1933-2022")</f>
        <v/>
      </c>
    </row>
    <row r="44" ht="15" customHeight="1">
      <c r="A44" t="inlineStr">
        <is>
          <t>A 50243-2025</t>
        </is>
      </c>
      <c r="B44" t="inlineStr">
        <is>
          <t>avverkningsanmälan</t>
        </is>
      </c>
      <c r="C44" t="inlineStr">
        <is>
          <t>Avverkning för annat ändamål</t>
        </is>
      </c>
      <c r="D44" s="1" t="n">
        <v>45943</v>
      </c>
      <c r="E44" s="1" t="n">
        <v>46231</v>
      </c>
      <c r="F44" t="inlineStr">
        <is>
          <t>KALMAR LÄN</t>
        </is>
      </c>
      <c r="G44" t="inlineStr">
        <is>
          <t>KALMAR</t>
        </is>
      </c>
      <c r="I44" t="n">
        <v>0.8</v>
      </c>
      <c r="J44" t="n">
        <v>2</v>
      </c>
      <c r="K44" t="n">
        <v>1</v>
      </c>
      <c r="L44" t="n">
        <v>0</v>
      </c>
      <c r="M44" t="n">
        <v>1</v>
      </c>
      <c r="N44" t="n">
        <v>0</v>
      </c>
      <c r="O44" t="n">
        <v>0</v>
      </c>
      <c r="P44" t="n">
        <v>0</v>
      </c>
      <c r="Q44" t="n">
        <v>1</v>
      </c>
      <c r="R44" t="n">
        <v>1</v>
      </c>
      <c r="S44" t="n">
        <v>3</v>
      </c>
      <c r="T44" t="n">
        <v>3</v>
      </c>
      <c r="U44" t="n">
        <v>3</v>
      </c>
      <c r="V44" s="2" t="inlineStr">
        <is>
          <t>Knärot
Blåmossa
Spillkråka</t>
        </is>
      </c>
      <c r="W44">
        <f>HYPERLINK("https://klasma.github.io/Logging_0880/artfynd/A 50243-2025 artfynd.xlsx", "A 50243-2025")</f>
        <v/>
      </c>
      <c r="X44">
        <f>HYPERLINK("https://klasma.github.io/Logging_0880/kartor/A 50243-2025 karta.png", "A 50243-2025")</f>
        <v/>
      </c>
      <c r="Y44">
        <f>HYPERLINK("https://klasma.github.io/Logging_0880/kartor_geotiff/A 50243-2025 georefererad karta.tif", "A 50243-2025")</f>
        <v/>
      </c>
      <c r="Z44">
        <f>HYPERLINK("https://klasma.github.io/Logging_0880/knärot/A 50243-2025 karta knärot.png", "A 50243-2025")</f>
        <v/>
      </c>
      <c r="AA44">
        <f>HYPERLINK("https://klasma.github.io/Logging_0880/klagomål/A 50243-2025 FSC-klagomål.docx", "A 50243-2025")</f>
        <v/>
      </c>
      <c r="AB44">
        <f>HYPERLINK("https://klasma.github.io/Logging_0880/klagomålsmail/A 50243-2025 FSC-klagomål mail.docx", "A 50243-2025")</f>
        <v/>
      </c>
      <c r="AC44">
        <f>HYPERLINK("https://klasma.github.io/Logging_0880/tillsyn/A 50243-2025 tillsynsbegäran.docx", "A 50243-2025")</f>
        <v/>
      </c>
      <c r="AD44">
        <f>HYPERLINK("https://klasma.github.io/Logging_0880/tillsynsmail/A 50243-2025 tillsynsbegäran mail.docx", "A 50243-2025")</f>
        <v/>
      </c>
      <c r="AE44">
        <f>HYPERLINK("https://klasma.github.io/Logging_0880/fåglar/A 50243-2025 prioriterade fågelarter.docx", "A 50243-2025")</f>
        <v/>
      </c>
    </row>
    <row r="45" ht="15" customHeight="1">
      <c r="A45" t="inlineStr">
        <is>
          <t>A 31314-2023</t>
        </is>
      </c>
      <c r="B45" t="inlineStr">
        <is>
          <t>avverkningsanmälan</t>
        </is>
      </c>
      <c r="C45" t="inlineStr">
        <is>
          <t>Föryngringsavverkning</t>
        </is>
      </c>
      <c r="D45" s="1" t="n">
        <v>45114</v>
      </c>
      <c r="E45" s="1" t="n">
        <v>46231</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46231</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t="n">
        <v>14</v>
      </c>
      <c r="V46" s="2" t="inlineStr">
        <is>
          <t>Knärot
Dropptaggsvamp
Murgröna</t>
        </is>
      </c>
      <c r="W46">
        <f>HYPERLINK("https://klasma.github.io/Logging_0880/artfynd/A 33043-2022 artfynd.xlsx", "A 33043-2022")</f>
        <v/>
      </c>
      <c r="X46">
        <f>HYPERLINK("https://klasma.github.io/Logging_0880/kartor/A 33043-2022 karta.png", "A 33043-2022")</f>
        <v/>
      </c>
      <c r="Y46">
        <f>HYPERLINK("https://klasma.github.io/Logging_0880/kartor_geotiff/A 33043-2022 georefererad karta.tif", "A 33043-2022")</f>
        <v/>
      </c>
      <c r="Z46">
        <f>HYPERLINK("https://klasma.github.io/Logging_0880/knärot/A 33043-2022 karta knärot.png", "A 33043-2022")</f>
        <v/>
      </c>
      <c r="AA46">
        <f>HYPERLINK("https://klasma.github.io/Logging_0880/klagomål/A 33043-2022 FSC-klagomål.docx", "A 33043-2022")</f>
        <v/>
      </c>
      <c r="AB46">
        <f>HYPERLINK("https://klasma.github.io/Logging_0880/klagomålsmail/A 33043-2022 FSC-klagomål mail.docx", "A 33043-2022")</f>
        <v/>
      </c>
      <c r="AC46">
        <f>HYPERLINK("https://klasma.github.io/Logging_0880/tillsyn/A 33043-2022 tillsynsbegäran.docx", "A 33043-2022")</f>
        <v/>
      </c>
      <c r="AD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46231</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46231</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t="n">
        <v>6</v>
      </c>
      <c r="V48" s="2" t="inlineStr">
        <is>
          <t>Blåmossa
Grovticka
Grönpyrola</t>
        </is>
      </c>
      <c r="W48">
        <f>HYPERLINK("https://klasma.github.io/Logging_0880/artfynd/A 33057-2022 artfynd.xlsx", "A 33057-2022")</f>
        <v/>
      </c>
      <c r="X48">
        <f>HYPERLINK("https://klasma.github.io/Logging_0880/kartor/A 33057-2022 karta.png", "A 33057-2022")</f>
        <v/>
      </c>
      <c r="Y48">
        <f>HYPERLINK("https://klasma.github.io/Logging_0880/kartor_geotiff/A 33057-2022 georefererad karta.tif", "A 33057-2022")</f>
        <v/>
      </c>
      <c r="AA48">
        <f>HYPERLINK("https://klasma.github.io/Logging_0880/klagomål/A 33057-2022 FSC-klagomål.docx", "A 33057-2022")</f>
        <v/>
      </c>
      <c r="AB48">
        <f>HYPERLINK("https://klasma.github.io/Logging_0880/klagomålsmail/A 33057-2022 FSC-klagomål mail.docx", "A 33057-2022")</f>
        <v/>
      </c>
      <c r="AC48">
        <f>HYPERLINK("https://klasma.github.io/Logging_0880/tillsyn/A 33057-2022 tillsynsbegäran.docx", "A 33057-2022")</f>
        <v/>
      </c>
      <c r="AD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46231</v>
      </c>
      <c r="F49" t="inlineStr">
        <is>
          <t>KALMAR LÄN</t>
        </is>
      </c>
      <c r="G49" t="inlineStr">
        <is>
          <t>KALMAR</t>
        </is>
      </c>
      <c r="I49" t="n">
        <v>1</v>
      </c>
      <c r="J49" t="n">
        <v>1</v>
      </c>
      <c r="K49" t="n">
        <v>0</v>
      </c>
      <c r="L49" t="n">
        <v>0</v>
      </c>
      <c r="M49" t="n">
        <v>2</v>
      </c>
      <c r="N49" t="n">
        <v>0</v>
      </c>
      <c r="O49" t="n">
        <v>0</v>
      </c>
      <c r="P49" t="n">
        <v>0</v>
      </c>
      <c r="Q49" t="n">
        <v>2</v>
      </c>
      <c r="R49" t="n">
        <v>2</v>
      </c>
      <c r="S49" t="n">
        <v>3</v>
      </c>
      <c r="T49" t="n">
        <v>4</v>
      </c>
      <c r="U49" t="n">
        <v>4</v>
      </c>
      <c r="V49" s="2" t="inlineStr">
        <is>
          <t>Bredbrämad bastardsvärmare
Mindre bastardsvärmare
Gullviva</t>
        </is>
      </c>
      <c r="W49">
        <f>HYPERLINK("https://klasma.github.io/Logging_0880/artfynd/A 18881-2023 artfynd.xlsx", "A 18881-2023")</f>
        <v/>
      </c>
      <c r="X49">
        <f>HYPERLINK("https://klasma.github.io/Logging_0880/kartor/A 18881-2023 karta.png", "A 18881-2023")</f>
        <v/>
      </c>
      <c r="Y49">
        <f>HYPERLINK("https://klasma.github.io/Logging_0880/kartor_geotiff/A 18881-2023 georefererad karta.tif", "A 18881-2023")</f>
        <v/>
      </c>
      <c r="AA49">
        <f>HYPERLINK("https://klasma.github.io/Logging_0880/klagomål/A 18881-2023 FSC-klagomål.docx", "A 18881-2023")</f>
        <v/>
      </c>
      <c r="AB49">
        <f>HYPERLINK("https://klasma.github.io/Logging_0880/klagomålsmail/A 18881-2023 FSC-klagomål mail.docx", "A 18881-2023")</f>
        <v/>
      </c>
      <c r="AC49">
        <f>HYPERLINK("https://klasma.github.io/Logging_0880/tillsyn/A 18881-2023 tillsynsbegäran.docx", "A 18881-2023")</f>
        <v/>
      </c>
      <c r="AD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46231</v>
      </c>
      <c r="F50" t="inlineStr">
        <is>
          <t>KALMAR LÄN</t>
        </is>
      </c>
      <c r="G50" t="inlineStr">
        <is>
          <t>KALMAR</t>
        </is>
      </c>
      <c r="I50" t="n">
        <v>1.8</v>
      </c>
      <c r="J50" t="n">
        <v>1</v>
      </c>
      <c r="K50" t="n">
        <v>1</v>
      </c>
      <c r="L50" t="n">
        <v>1</v>
      </c>
      <c r="M50" t="n">
        <v>1</v>
      </c>
      <c r="N50" t="n">
        <v>0</v>
      </c>
      <c r="O50" t="n">
        <v>0</v>
      </c>
      <c r="P50" t="n">
        <v>0</v>
      </c>
      <c r="Q50" t="n">
        <v>2</v>
      </c>
      <c r="R50" t="n">
        <v>1</v>
      </c>
      <c r="S50" t="n">
        <v>3</v>
      </c>
      <c r="T50" t="n">
        <v>3</v>
      </c>
      <c r="U50" t="n">
        <v>0</v>
      </c>
      <c r="V50" s="2" t="inlineStr">
        <is>
          <t>Knärot
Tallkötticka
Guldlockmossa</t>
        </is>
      </c>
      <c r="W50">
        <f>HYPERLINK("https://klasma.github.io/Logging_0880/artfynd/A 9858-2024 artfynd.xlsx", "A 9858-2024")</f>
        <v/>
      </c>
      <c r="X50">
        <f>HYPERLINK("https://klasma.github.io/Logging_0880/kartor/A 9858-2024 karta.png", "A 9858-2024")</f>
        <v/>
      </c>
      <c r="Y50">
        <f>HYPERLINK("https://klasma.github.io/Logging_0880/kartor_geotiff/A 9858-2024 georefererad karta.tif", "A 9858-2024")</f>
        <v/>
      </c>
      <c r="Z50">
        <f>HYPERLINK("https://klasma.github.io/Logging_0880/knärot/A 9858-2024 karta knärot.png", "A 9858-2024")</f>
        <v/>
      </c>
      <c r="AA50">
        <f>HYPERLINK("https://klasma.github.io/Logging_0880/klagomål/A 9858-2024 FSC-klagomål.docx", "A 9858-2024")</f>
        <v/>
      </c>
      <c r="AB50">
        <f>HYPERLINK("https://klasma.github.io/Logging_0880/klagomålsmail/A 9858-2024 FSC-klagomål mail.docx", "A 9858-2024")</f>
        <v/>
      </c>
      <c r="AC50">
        <f>HYPERLINK("https://klasma.github.io/Logging_0880/tillsyn/A 9858-2024 tillsynsbegäran.docx", "A 9858-2024")</f>
        <v/>
      </c>
      <c r="AD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46231</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46231</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46231</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46231</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46231</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46231</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46231</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46231</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31695-2023</t>
        </is>
      </c>
      <c r="B59" t="inlineStr">
        <is>
          <t>avverkningsanmälan</t>
        </is>
      </c>
      <c r="C59" t="inlineStr">
        <is>
          <t>Föryngringsavverkning</t>
        </is>
      </c>
      <c r="D59" s="1" t="n">
        <v>45105</v>
      </c>
      <c r="E59" s="1" t="n">
        <v>46231</v>
      </c>
      <c r="F59" t="inlineStr">
        <is>
          <t>KALMAR LÄN</t>
        </is>
      </c>
      <c r="G59" t="inlineStr">
        <is>
          <t>KALMAR</t>
        </is>
      </c>
      <c r="I59" t="n">
        <v>0.7</v>
      </c>
      <c r="J59" t="n">
        <v>0</v>
      </c>
      <c r="K59" t="n">
        <v>2</v>
      </c>
      <c r="L59" t="n">
        <v>0</v>
      </c>
      <c r="M59" t="n">
        <v>0</v>
      </c>
      <c r="N59" t="n">
        <v>0</v>
      </c>
      <c r="O59" t="n">
        <v>0</v>
      </c>
      <c r="P59" t="n">
        <v>0</v>
      </c>
      <c r="Q59" t="n">
        <v>0</v>
      </c>
      <c r="R59" t="n">
        <v>0</v>
      </c>
      <c r="S59" t="n">
        <v>2</v>
      </c>
      <c r="T59" t="n">
        <v>2</v>
      </c>
      <c r="U59" t="n">
        <v>2</v>
      </c>
      <c r="V59" s="2" t="inlineStr">
        <is>
          <t>Blåmossa
Grovticka</t>
        </is>
      </c>
      <c r="W59">
        <f>HYPERLINK("https://klasma.github.io/Logging_0880/artfynd/A 31695-2023 artfynd.xlsx", "A 31695-2023")</f>
        <v/>
      </c>
      <c r="X59">
        <f>HYPERLINK("https://klasma.github.io/Logging_0880/kartor/A 31695-2023 karta.png", "A 31695-2023")</f>
        <v/>
      </c>
      <c r="Y59">
        <f>HYPERLINK("https://klasma.github.io/Logging_0880/kartor_geotiff/A 31695-2023 georefererad karta.tif", "A 31695-2023")</f>
        <v/>
      </c>
      <c r="AA59">
        <f>HYPERLINK("https://klasma.github.io/Logging_0880/klagomål/A 31695-2023 FSC-klagomål.docx", "A 31695-2023")</f>
        <v/>
      </c>
      <c r="AB59">
        <f>HYPERLINK("https://klasma.github.io/Logging_0880/klagomålsmail/A 31695-2023 FSC-klagomål mail.docx", "A 31695-2023")</f>
        <v/>
      </c>
      <c r="AC59">
        <f>HYPERLINK("https://klasma.github.io/Logging_0880/tillsyn/A 31695-2023 tillsynsbegäran.docx", "A 31695-2023")</f>
        <v/>
      </c>
      <c r="AD59">
        <f>HYPERLINK("https://klasma.github.io/Logging_0880/tillsynsmail/A 31695-2023 tillsynsbegäran mail.docx", "A 31695-2023")</f>
        <v/>
      </c>
    </row>
    <row r="60" ht="15" customHeight="1">
      <c r="A60" t="inlineStr">
        <is>
          <t>A 35871-2022</t>
        </is>
      </c>
      <c r="B60" t="inlineStr">
        <is>
          <t>avverkningsanmälan</t>
        </is>
      </c>
      <c r="C60" t="inlineStr">
        <is>
          <t>Avverkning för annat ändamål</t>
        </is>
      </c>
      <c r="D60" s="1" t="n">
        <v>44802</v>
      </c>
      <c r="E60" s="1" t="n">
        <v>46231</v>
      </c>
      <c r="F60" t="inlineStr">
        <is>
          <t>KALMAR LÄN</t>
        </is>
      </c>
      <c r="G60" t="inlineStr">
        <is>
          <t>KALMAR</t>
        </is>
      </c>
      <c r="I60" t="n">
        <v>1</v>
      </c>
      <c r="J60" t="n">
        <v>2</v>
      </c>
      <c r="K60" t="n">
        <v>0</v>
      </c>
      <c r="L60" t="n">
        <v>1</v>
      </c>
      <c r="M60" t="n">
        <v>0</v>
      </c>
      <c r="N60" t="n">
        <v>0</v>
      </c>
      <c r="O60" t="n">
        <v>0</v>
      </c>
      <c r="P60" t="n">
        <v>0</v>
      </c>
      <c r="Q60" t="n">
        <v>1</v>
      </c>
      <c r="R60" t="n">
        <v>0</v>
      </c>
      <c r="S60" t="n">
        <v>2</v>
      </c>
      <c r="T60" t="n">
        <v>2</v>
      </c>
      <c r="U60" t="n">
        <v>0</v>
      </c>
      <c r="V60" s="2" t="inlineStr">
        <is>
          <t>Nordfladdermus
Större brunfladdermus</t>
        </is>
      </c>
      <c r="W60">
        <f>HYPERLINK("https://klasma.github.io/Logging_0880/artfynd/A 35871-2022 artfynd.xlsx", "A 35871-2022")</f>
        <v/>
      </c>
      <c r="X60">
        <f>HYPERLINK("https://klasma.github.io/Logging_0880/kartor/A 35871-2022 karta.png", "A 35871-2022")</f>
        <v/>
      </c>
      <c r="Y60">
        <f>HYPERLINK("https://klasma.github.io/Logging_0880/kartor_geotiff/A 35871-2022 georefererad karta.tif", "A 35871-2022")</f>
        <v/>
      </c>
      <c r="AA60">
        <f>HYPERLINK("https://klasma.github.io/Logging_0880/klagomål/A 35871-2022 FSC-klagomål.docx", "A 35871-2022")</f>
        <v/>
      </c>
      <c r="AB60">
        <f>HYPERLINK("https://klasma.github.io/Logging_0880/klagomålsmail/A 35871-2022 FSC-klagomål mail.docx", "A 35871-2022")</f>
        <v/>
      </c>
      <c r="AC60">
        <f>HYPERLINK("https://klasma.github.io/Logging_0880/tillsyn/A 35871-2022 tillsynsbegäran.docx", "A 35871-2022")</f>
        <v/>
      </c>
      <c r="AD60">
        <f>HYPERLINK("https://klasma.github.io/Logging_0880/tillsynsmail/A 35871-2022 tillsynsbegäran mail.docx", "A 35871-2022")</f>
        <v/>
      </c>
    </row>
    <row r="61" ht="15" customHeight="1">
      <c r="A61" t="inlineStr">
        <is>
          <t>A 11732-2023</t>
        </is>
      </c>
      <c r="B61" t="inlineStr">
        <is>
          <t>avverkningsanmälan</t>
        </is>
      </c>
      <c r="C61" t="inlineStr">
        <is>
          <t>Föryngringsavverkning</t>
        </is>
      </c>
      <c r="D61" s="1" t="n">
        <v>44994</v>
      </c>
      <c r="E61" s="1" t="n">
        <v>46231</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46231</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17374-2026</t>
        </is>
      </c>
      <c r="B63" t="inlineStr">
        <is>
          <t>avverkningsanmälan</t>
        </is>
      </c>
      <c r="C63" t="inlineStr">
        <is>
          <t>Föryngringsavverkning</t>
        </is>
      </c>
      <c r="D63" s="1" t="n">
        <v>46119</v>
      </c>
      <c r="E63" s="1" t="n">
        <v>46231</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46231</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10836-2025</t>
        </is>
      </c>
      <c r="B65" t="inlineStr">
        <is>
          <t>avverkningsanmälan</t>
        </is>
      </c>
      <c r="C65" t="inlineStr">
        <is>
          <t>Föryngringsavverkning</t>
        </is>
      </c>
      <c r="D65" s="1" t="n">
        <v>45722</v>
      </c>
      <c r="E65" s="1" t="n">
        <v>46231</v>
      </c>
      <c r="F65" t="inlineStr">
        <is>
          <t>KALMAR LÄN</t>
        </is>
      </c>
      <c r="G65" t="inlineStr">
        <is>
          <t>KALMAR</t>
        </is>
      </c>
      <c r="H65" t="inlineStr">
        <is>
          <t>Sveaskog</t>
        </is>
      </c>
      <c r="I65" t="n">
        <v>9.300000000000001</v>
      </c>
      <c r="J65" t="n">
        <v>2</v>
      </c>
      <c r="K65" t="n">
        <v>0</v>
      </c>
      <c r="L65" t="n">
        <v>0</v>
      </c>
      <c r="M65" t="n">
        <v>0</v>
      </c>
      <c r="N65" t="n">
        <v>2</v>
      </c>
      <c r="O65" t="n">
        <v>0</v>
      </c>
      <c r="P65" t="n">
        <v>0</v>
      </c>
      <c r="Q65" t="n">
        <v>2</v>
      </c>
      <c r="R65" t="n">
        <v>2</v>
      </c>
      <c r="S65" t="n">
        <v>2</v>
      </c>
      <c r="T65" t="n">
        <v>2</v>
      </c>
      <c r="U65" t="n">
        <v>1</v>
      </c>
      <c r="V65" s="2" t="inlineStr">
        <is>
          <t>Hornuggla
Pärluggla</t>
        </is>
      </c>
      <c r="W65">
        <f>HYPERLINK("https://klasma.github.io/Logging_0880/artfynd/A 10836-2025 artfynd.xlsx", "A 10836-2025")</f>
        <v/>
      </c>
      <c r="X65">
        <f>HYPERLINK("https://klasma.github.io/Logging_0880/kartor/A 10836-2025 karta.png", "A 10836-2025")</f>
        <v/>
      </c>
      <c r="Y65">
        <f>HYPERLINK("https://klasma.github.io/Logging_0880/kartor_geotiff/A 10836-2025 georefererad karta.tif", "A 10836-2025")</f>
        <v/>
      </c>
      <c r="AA65">
        <f>HYPERLINK("https://klasma.github.io/Logging_0880/klagomål/A 10836-2025 FSC-klagomål.docx", "A 10836-2025")</f>
        <v/>
      </c>
      <c r="AB65">
        <f>HYPERLINK("https://klasma.github.io/Logging_0880/klagomålsmail/A 10836-2025 FSC-klagomål mail.docx", "A 10836-2025")</f>
        <v/>
      </c>
      <c r="AC65">
        <f>HYPERLINK("https://klasma.github.io/Logging_0880/tillsyn/A 10836-2025 tillsynsbegäran.docx", "A 10836-2025")</f>
        <v/>
      </c>
      <c r="AD65">
        <f>HYPERLINK("https://klasma.github.io/Logging_0880/tillsynsmail/A 10836-2025 tillsynsbegäran mail.docx", "A 10836-2025")</f>
        <v/>
      </c>
      <c r="AE65">
        <f>HYPERLINK("https://klasma.github.io/Logging_0880/fåglar/A 10836-2025 prioriterade fågelarter.docx", "A 10836-2025")</f>
        <v/>
      </c>
    </row>
    <row r="66" ht="15" customHeight="1">
      <c r="A66" t="inlineStr">
        <is>
          <t>A 36940-2025</t>
        </is>
      </c>
      <c r="B66" t="inlineStr">
        <is>
          <t>avverkningsanmälan</t>
        </is>
      </c>
      <c r="C66" t="inlineStr">
        <is>
          <t>Föryngringsavverkning</t>
        </is>
      </c>
      <c r="D66" s="1" t="n">
        <v>45874</v>
      </c>
      <c r="E66" s="1" t="n">
        <v>46231</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6319-2026</t>
        </is>
      </c>
      <c r="B67" t="inlineStr">
        <is>
          <t>avverkningsanmälan</t>
        </is>
      </c>
      <c r="C67" t="inlineStr">
        <is>
          <t>Föryngringsavverkning</t>
        </is>
      </c>
      <c r="D67" s="1" t="n">
        <v>46055</v>
      </c>
      <c r="E67" s="1" t="n">
        <v>46231</v>
      </c>
      <c r="F67" t="inlineStr">
        <is>
          <t>KALMAR LÄN</t>
        </is>
      </c>
      <c r="G67" t="inlineStr">
        <is>
          <t>KALMAR</t>
        </is>
      </c>
      <c r="I67" t="n">
        <v>1</v>
      </c>
      <c r="J67" t="n">
        <v>1</v>
      </c>
      <c r="K67" t="n">
        <v>0</v>
      </c>
      <c r="L67" t="n">
        <v>1</v>
      </c>
      <c r="M67" t="n">
        <v>1</v>
      </c>
      <c r="N67" t="n">
        <v>0</v>
      </c>
      <c r="O67" t="n">
        <v>0</v>
      </c>
      <c r="P67" t="n">
        <v>0</v>
      </c>
      <c r="Q67" t="n">
        <v>2</v>
      </c>
      <c r="R67" t="n">
        <v>1</v>
      </c>
      <c r="S67" t="n">
        <v>2</v>
      </c>
      <c r="T67" t="n">
        <v>2</v>
      </c>
      <c r="U67" t="n">
        <v>0</v>
      </c>
      <c r="V67" s="2" t="inlineStr">
        <is>
          <t>Igelkott
Nordfladdermus</t>
        </is>
      </c>
      <c r="W67">
        <f>HYPERLINK("https://klasma.github.io/Logging_0880/artfynd/A 6319-2026 artfynd.xlsx", "A 6319-2026")</f>
        <v/>
      </c>
      <c r="X67">
        <f>HYPERLINK("https://klasma.github.io/Logging_0880/kartor/A 6319-2026 karta.png", "A 6319-2026")</f>
        <v/>
      </c>
      <c r="Y67">
        <f>HYPERLINK("https://klasma.github.io/Logging_0880/kartor_geotiff/A 6319-2026 georefererad karta.tif", "A 6319-2026")</f>
        <v/>
      </c>
      <c r="AA67">
        <f>HYPERLINK("https://klasma.github.io/Logging_0880/klagomål/A 6319-2026 FSC-klagomål.docx", "A 6319-2026")</f>
        <v/>
      </c>
      <c r="AB67">
        <f>HYPERLINK("https://klasma.github.io/Logging_0880/klagomålsmail/A 6319-2026 FSC-klagomål mail.docx", "A 6319-2026")</f>
        <v/>
      </c>
      <c r="AC67">
        <f>HYPERLINK("https://klasma.github.io/Logging_0880/tillsyn/A 6319-2026 tillsynsbegäran.docx", "A 6319-2026")</f>
        <v/>
      </c>
      <c r="AD67">
        <f>HYPERLINK("https://klasma.github.io/Logging_0880/tillsynsmail/A 6319-2026 tillsynsbegäran mail.docx", "A 6319-2026")</f>
        <v/>
      </c>
    </row>
    <row r="68" ht="15" customHeight="1">
      <c r="A68" t="inlineStr">
        <is>
          <t>A 7107-2023</t>
        </is>
      </c>
      <c r="B68" t="inlineStr">
        <is>
          <t>avverkningsanmälan</t>
        </is>
      </c>
      <c r="C68" t="inlineStr">
        <is>
          <t>Föryngringsavverkning</t>
        </is>
      </c>
      <c r="D68" s="1" t="n">
        <v>44970</v>
      </c>
      <c r="E68" s="1" t="n">
        <v>46231</v>
      </c>
      <c r="F68" t="inlineStr">
        <is>
          <t>KALMAR LÄN</t>
        </is>
      </c>
      <c r="G68" t="inlineStr">
        <is>
          <t>KALMAR</t>
        </is>
      </c>
      <c r="I68" t="n">
        <v>1.1</v>
      </c>
      <c r="J68" t="n">
        <v>0</v>
      </c>
      <c r="K68" t="n">
        <v>2</v>
      </c>
      <c r="L68" t="n">
        <v>0</v>
      </c>
      <c r="M68" t="n">
        <v>0</v>
      </c>
      <c r="N68" t="n">
        <v>0</v>
      </c>
      <c r="O68" t="n">
        <v>0</v>
      </c>
      <c r="P68" t="n">
        <v>0</v>
      </c>
      <c r="Q68" t="n">
        <v>0</v>
      </c>
      <c r="R68" t="n">
        <v>0</v>
      </c>
      <c r="S68" t="n">
        <v>2</v>
      </c>
      <c r="T68" t="n">
        <v>2</v>
      </c>
      <c r="U68" t="n">
        <v>2</v>
      </c>
      <c r="V68" s="2" t="inlineStr">
        <is>
          <t>Barkticka
Fällmossa</t>
        </is>
      </c>
      <c r="W68">
        <f>HYPERLINK("https://klasma.github.io/Logging_0880/artfynd/A 7107-2023 artfynd.xlsx", "A 7107-2023")</f>
        <v/>
      </c>
      <c r="X68">
        <f>HYPERLINK("https://klasma.github.io/Logging_0880/kartor/A 7107-2023 karta.png", "A 7107-2023")</f>
        <v/>
      </c>
      <c r="Y68">
        <f>HYPERLINK("https://klasma.github.io/Logging_0880/kartor_geotiff/A 7107-2023 georefererad karta.tif", "A 7107-2023")</f>
        <v/>
      </c>
      <c r="AA68">
        <f>HYPERLINK("https://klasma.github.io/Logging_0880/klagomål/A 7107-2023 FSC-klagomål.docx", "A 7107-2023")</f>
        <v/>
      </c>
      <c r="AB68">
        <f>HYPERLINK("https://klasma.github.io/Logging_0880/klagomålsmail/A 7107-2023 FSC-klagomål mail.docx", "A 7107-2023")</f>
        <v/>
      </c>
      <c r="AC68">
        <f>HYPERLINK("https://klasma.github.io/Logging_0880/tillsyn/A 7107-2023 tillsynsbegäran.docx", "A 7107-2023")</f>
        <v/>
      </c>
      <c r="AD68">
        <f>HYPERLINK("https://klasma.github.io/Logging_0880/tillsynsmail/A 7107-2023 tillsynsbegäran mail.docx", "A 7107-2023")</f>
        <v/>
      </c>
    </row>
    <row r="69" ht="15" customHeight="1">
      <c r="A69" t="inlineStr">
        <is>
          <t>A 46095-2025</t>
        </is>
      </c>
      <c r="B69" t="inlineStr">
        <is>
          <t>avverkningsanmälan</t>
        </is>
      </c>
      <c r="C69" t="inlineStr">
        <is>
          <t>Föryngringsavverkning</t>
        </is>
      </c>
      <c r="D69" s="1" t="n">
        <v>45924</v>
      </c>
      <c r="E69" s="1" t="n">
        <v>46231</v>
      </c>
      <c r="F69" t="inlineStr">
        <is>
          <t>KALMAR LÄN</t>
        </is>
      </c>
      <c r="G69" t="inlineStr">
        <is>
          <t>KALMAR</t>
        </is>
      </c>
      <c r="I69" t="n">
        <v>2.3</v>
      </c>
      <c r="J69" t="n">
        <v>0</v>
      </c>
      <c r="K69" t="n">
        <v>1</v>
      </c>
      <c r="L69" t="n">
        <v>1</v>
      </c>
      <c r="M69" t="n">
        <v>0</v>
      </c>
      <c r="N69" t="n">
        <v>0</v>
      </c>
      <c r="O69" t="n">
        <v>0</v>
      </c>
      <c r="P69" t="n">
        <v>0</v>
      </c>
      <c r="Q69" t="n">
        <v>1</v>
      </c>
      <c r="R69" t="n">
        <v>0</v>
      </c>
      <c r="S69" t="n">
        <v>2</v>
      </c>
      <c r="T69" t="n">
        <v>3</v>
      </c>
      <c r="U69" t="n">
        <v>0</v>
      </c>
      <c r="V69" s="2" t="inlineStr">
        <is>
          <t>Motaggsvamp
Blåmossa</t>
        </is>
      </c>
      <c r="W69">
        <f>HYPERLINK("https://klasma.github.io/Logging_0880/artfynd/A 46095-2025 artfynd.xlsx", "A 46095-2025")</f>
        <v/>
      </c>
      <c r="X69">
        <f>HYPERLINK("https://klasma.github.io/Logging_0880/kartor/A 46095-2025 karta.png", "A 46095-2025")</f>
        <v/>
      </c>
      <c r="Y69">
        <f>HYPERLINK("https://klasma.github.io/Logging_0880/kartor_geotiff/A 46095-2025 georefererad karta.tif", "A 46095-2025")</f>
        <v/>
      </c>
      <c r="AA69">
        <f>HYPERLINK("https://klasma.github.io/Logging_0880/klagomål/A 46095-2025 FSC-klagomål.docx", "A 46095-2025")</f>
        <v/>
      </c>
      <c r="AB69">
        <f>HYPERLINK("https://klasma.github.io/Logging_0880/klagomålsmail/A 46095-2025 FSC-klagomål mail.docx", "A 46095-2025")</f>
        <v/>
      </c>
      <c r="AC69">
        <f>HYPERLINK("https://klasma.github.io/Logging_0880/tillsyn/A 46095-2025 tillsynsbegäran.docx", "A 46095-2025")</f>
        <v/>
      </c>
      <c r="AD69">
        <f>HYPERLINK("https://klasma.github.io/Logging_0880/tillsynsmail/A 46095-2025 tillsynsbegäran mail.docx", "A 46095-2025")</f>
        <v/>
      </c>
    </row>
    <row r="70" ht="15" customHeight="1">
      <c r="A70" t="inlineStr">
        <is>
          <t>A 5211-2026</t>
        </is>
      </c>
      <c r="B70" t="inlineStr">
        <is>
          <t>avverkningsanmälan</t>
        </is>
      </c>
      <c r="C70" t="inlineStr">
        <is>
          <t>Föryngringsavverkning</t>
        </is>
      </c>
      <c r="D70" s="1" t="n">
        <v>46049</v>
      </c>
      <c r="E70" s="1" t="n">
        <v>46231</v>
      </c>
      <c r="F70" t="inlineStr">
        <is>
          <t>KALMAR LÄN</t>
        </is>
      </c>
      <c r="G70" t="inlineStr">
        <is>
          <t>KALMAR</t>
        </is>
      </c>
      <c r="I70" t="n">
        <v>1.8</v>
      </c>
      <c r="J70" t="n">
        <v>2</v>
      </c>
      <c r="K70" t="n">
        <v>0</v>
      </c>
      <c r="L70" t="n">
        <v>0</v>
      </c>
      <c r="M70" t="n">
        <v>1</v>
      </c>
      <c r="N70" t="n">
        <v>0</v>
      </c>
      <c r="O70" t="n">
        <v>0</v>
      </c>
      <c r="P70" t="n">
        <v>0</v>
      </c>
      <c r="Q70" t="n">
        <v>1</v>
      </c>
      <c r="R70" t="n">
        <v>1</v>
      </c>
      <c r="S70" t="n">
        <v>2</v>
      </c>
      <c r="T70" t="n">
        <v>2</v>
      </c>
      <c r="U70" t="n">
        <v>1</v>
      </c>
      <c r="V70" s="2" t="inlineStr">
        <is>
          <t>Sandödla
Grönsiska</t>
        </is>
      </c>
      <c r="W70">
        <f>HYPERLINK("https://klasma.github.io/Logging_0880/artfynd/A 5211-2026 artfynd.xlsx", "A 5211-2026")</f>
        <v/>
      </c>
      <c r="X70">
        <f>HYPERLINK("https://klasma.github.io/Logging_0880/kartor/A 5211-2026 karta.png", "A 5211-2026")</f>
        <v/>
      </c>
      <c r="Y70">
        <f>HYPERLINK("https://klasma.github.io/Logging_0880/kartor_geotiff/A 5211-2026 georefererad karta.tif", "A 5211-2026")</f>
        <v/>
      </c>
      <c r="AA70">
        <f>HYPERLINK("https://klasma.github.io/Logging_0880/klagomål/A 5211-2026 FSC-klagomål.docx", "A 5211-2026")</f>
        <v/>
      </c>
      <c r="AB70">
        <f>HYPERLINK("https://klasma.github.io/Logging_0880/klagomålsmail/A 5211-2026 FSC-klagomål mail.docx", "A 5211-2026")</f>
        <v/>
      </c>
      <c r="AC70">
        <f>HYPERLINK("https://klasma.github.io/Logging_0880/tillsyn/A 5211-2026 tillsynsbegäran.docx", "A 5211-2026")</f>
        <v/>
      </c>
      <c r="AD70">
        <f>HYPERLINK("https://klasma.github.io/Logging_0880/tillsynsmail/A 5211-2026 tillsynsbegäran mail.docx", "A 5211-2026")</f>
        <v/>
      </c>
    </row>
    <row r="71" ht="15" customHeight="1">
      <c r="A71" t="inlineStr">
        <is>
          <t>A 63620-2023</t>
        </is>
      </c>
      <c r="B71" t="inlineStr">
        <is>
          <t>avverkningsanmälan</t>
        </is>
      </c>
      <c r="C71" t="inlineStr">
        <is>
          <t>Föryngringsavverkning</t>
        </is>
      </c>
      <c r="D71" s="1" t="n">
        <v>45275</v>
      </c>
      <c r="E71" s="1" t="n">
        <v>46231</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44916-2024</t>
        </is>
      </c>
      <c r="B72" t="inlineStr">
        <is>
          <t>avverkningsanmälan</t>
        </is>
      </c>
      <c r="C72" t="inlineStr">
        <is>
          <t>Föryngringsavverkning</t>
        </is>
      </c>
      <c r="D72" s="1" t="n">
        <v>45575</v>
      </c>
      <c r="E72" s="1" t="n">
        <v>46231</v>
      </c>
      <c r="F72" t="inlineStr">
        <is>
          <t>KALMAR LÄN</t>
        </is>
      </c>
      <c r="G72" t="inlineStr">
        <is>
          <t>KALMAR</t>
        </is>
      </c>
      <c r="I72" t="n">
        <v>2.4</v>
      </c>
      <c r="J72" t="n">
        <v>1</v>
      </c>
      <c r="K72" t="n">
        <v>1</v>
      </c>
      <c r="L72" t="n">
        <v>0</v>
      </c>
      <c r="M72" t="n">
        <v>0</v>
      </c>
      <c r="N72" t="n">
        <v>1</v>
      </c>
      <c r="O72" t="n">
        <v>0</v>
      </c>
      <c r="P72" t="n">
        <v>0</v>
      </c>
      <c r="Q72" t="n">
        <v>1</v>
      </c>
      <c r="R72" t="n">
        <v>1</v>
      </c>
      <c r="S72" t="n">
        <v>2</v>
      </c>
      <c r="T72" t="n">
        <v>2</v>
      </c>
      <c r="U72" t="n">
        <v>1</v>
      </c>
      <c r="V72" s="2" t="inlineStr">
        <is>
          <t>Mosippa
Blomkålssvamp</t>
        </is>
      </c>
      <c r="W72">
        <f>HYPERLINK("https://klasma.github.io/Logging_0880/artfynd/A 44916-2024 artfynd.xlsx", "A 44916-2024")</f>
        <v/>
      </c>
      <c r="X72">
        <f>HYPERLINK("https://klasma.github.io/Logging_0880/kartor/A 44916-2024 karta.png", "A 44916-2024")</f>
        <v/>
      </c>
      <c r="Y72">
        <f>HYPERLINK("https://klasma.github.io/Logging_0880/kartor_geotiff/A 44916-2024 georefererad karta.tif", "A 44916-2024")</f>
        <v/>
      </c>
      <c r="AA72">
        <f>HYPERLINK("https://klasma.github.io/Logging_0880/klagomål/A 44916-2024 FSC-klagomål.docx", "A 44916-2024")</f>
        <v/>
      </c>
      <c r="AB72">
        <f>HYPERLINK("https://klasma.github.io/Logging_0880/klagomålsmail/A 44916-2024 FSC-klagomål mail.docx", "A 44916-2024")</f>
        <v/>
      </c>
      <c r="AC72">
        <f>HYPERLINK("https://klasma.github.io/Logging_0880/tillsyn/A 44916-2024 tillsynsbegäran.docx", "A 44916-2024")</f>
        <v/>
      </c>
      <c r="AD72">
        <f>HYPERLINK("https://klasma.github.io/Logging_0880/tillsynsmail/A 44916-2024 tillsynsbegäran mail.docx", "A 44916-2024")</f>
        <v/>
      </c>
    </row>
    <row r="73" ht="15" customHeight="1">
      <c r="A73" t="inlineStr">
        <is>
          <t>A 54865-2025</t>
        </is>
      </c>
      <c r="B73" t="inlineStr">
        <is>
          <t>avverkningsanmälan</t>
        </is>
      </c>
      <c r="C73" t="inlineStr">
        <is>
          <t>Föryngringsavverkning</t>
        </is>
      </c>
      <c r="D73" s="1" t="n">
        <v>45966</v>
      </c>
      <c r="E73" s="1" t="n">
        <v>46231</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2733-2024</t>
        </is>
      </c>
      <c r="B74" t="inlineStr">
        <is>
          <t>avverkningsanmälan</t>
        </is>
      </c>
      <c r="C74" t="inlineStr">
        <is>
          <t>Föryngringsavverkning</t>
        </is>
      </c>
      <c r="D74" s="1" t="n">
        <v>45314</v>
      </c>
      <c r="E74" s="1" t="n">
        <v>46231</v>
      </c>
      <c r="F74" t="inlineStr">
        <is>
          <t>KALMAR LÄN</t>
        </is>
      </c>
      <c r="G74" t="inlineStr">
        <is>
          <t>KALMAR</t>
        </is>
      </c>
      <c r="I74" t="n">
        <v>2.5</v>
      </c>
      <c r="J74" t="n">
        <v>1</v>
      </c>
      <c r="K74" t="n">
        <v>1</v>
      </c>
      <c r="L74" t="n">
        <v>1</v>
      </c>
      <c r="M74" t="n">
        <v>0</v>
      </c>
      <c r="N74" t="n">
        <v>0</v>
      </c>
      <c r="O74" t="n">
        <v>0</v>
      </c>
      <c r="P74" t="n">
        <v>0</v>
      </c>
      <c r="Q74" t="n">
        <v>1</v>
      </c>
      <c r="R74" t="n">
        <v>0</v>
      </c>
      <c r="S74" t="n">
        <v>2</v>
      </c>
      <c r="T74" t="n">
        <v>2</v>
      </c>
      <c r="U74" t="n">
        <v>2</v>
      </c>
      <c r="V74" s="2" t="inlineStr">
        <is>
          <t>Tallticka
Ekoxe</t>
        </is>
      </c>
      <c r="W74">
        <f>HYPERLINK("https://klasma.github.io/Logging_0880/artfynd/A 2733-2024 artfynd.xlsx", "A 2733-2024")</f>
        <v/>
      </c>
      <c r="X74">
        <f>HYPERLINK("https://klasma.github.io/Logging_0880/kartor/A 2733-2024 karta.png", "A 2733-2024")</f>
        <v/>
      </c>
      <c r="Y74">
        <f>HYPERLINK("https://klasma.github.io/Logging_0880/kartor_geotiff/A 2733-2024 georefererad karta.tif", "A 2733-2024")</f>
        <v/>
      </c>
      <c r="AA74">
        <f>HYPERLINK("https://klasma.github.io/Logging_0880/klagomål/A 2733-2024 FSC-klagomål.docx", "A 2733-2024")</f>
        <v/>
      </c>
      <c r="AB74">
        <f>HYPERLINK("https://klasma.github.io/Logging_0880/klagomålsmail/A 2733-2024 FSC-klagomål mail.docx", "A 2733-2024")</f>
        <v/>
      </c>
      <c r="AC74">
        <f>HYPERLINK("https://klasma.github.io/Logging_0880/tillsyn/A 2733-2024 tillsynsbegäran.docx", "A 2733-2024")</f>
        <v/>
      </c>
      <c r="AD74">
        <f>HYPERLINK("https://klasma.github.io/Logging_0880/tillsynsmail/A 2733-2024 tillsynsbegäran mail.docx", "A 2733-2024")</f>
        <v/>
      </c>
    </row>
    <row r="75" ht="15" customHeight="1">
      <c r="A75" t="inlineStr">
        <is>
          <t>A 41542-2022</t>
        </is>
      </c>
      <c r="B75" t="inlineStr">
        <is>
          <t>avverkningsanmälan</t>
        </is>
      </c>
      <c r="C75" t="inlineStr">
        <is>
          <t>Föryngringsavverkning</t>
        </is>
      </c>
      <c r="D75" s="1" t="n">
        <v>44827</v>
      </c>
      <c r="E75" s="1" t="n">
        <v>46231</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46231</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46231</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46231</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46231</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46231</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57058-2021</t>
        </is>
      </c>
      <c r="B81" t="inlineStr">
        <is>
          <t>avverkningsanmälan</t>
        </is>
      </c>
      <c r="C81" t="inlineStr">
        <is>
          <t>Föryngringsavverkning</t>
        </is>
      </c>
      <c r="D81" s="1" t="n">
        <v>44482</v>
      </c>
      <c r="E81" s="1" t="n">
        <v>46231</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38729-2023</t>
        </is>
      </c>
      <c r="B82" t="inlineStr">
        <is>
          <t>avverkningsanmälan</t>
        </is>
      </c>
      <c r="C82" t="inlineStr">
        <is>
          <t>Föryngringsavverkning</t>
        </is>
      </c>
      <c r="D82" s="1" t="n">
        <v>45163</v>
      </c>
      <c r="E82" s="1" t="n">
        <v>46231</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44747-2024</t>
        </is>
      </c>
      <c r="B83" t="inlineStr">
        <is>
          <t>avverkningsanmälan</t>
        </is>
      </c>
      <c r="C83" t="inlineStr">
        <is>
          <t>Avverkning för att bevara och utveckla /försöksver</t>
        </is>
      </c>
      <c r="D83" s="1" t="n">
        <v>45574</v>
      </c>
      <c r="E83" s="1" t="n">
        <v>46231</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61236-2022</t>
        </is>
      </c>
      <c r="B84" t="inlineStr">
        <is>
          <t>avverkningsanmälan</t>
        </is>
      </c>
      <c r="C84" t="inlineStr">
        <is>
          <t>Föryngringsavverkning</t>
        </is>
      </c>
      <c r="D84" s="1" t="n">
        <v>44915</v>
      </c>
      <c r="E84" s="1" t="n">
        <v>46231</v>
      </c>
      <c r="F84" t="inlineStr">
        <is>
          <t>KALMAR LÄN</t>
        </is>
      </c>
      <c r="G84" t="inlineStr">
        <is>
          <t>KALMAR</t>
        </is>
      </c>
      <c r="I84" t="n">
        <v>1.4</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61236-2022 artfynd.xlsx", "A 61236-2022")</f>
        <v/>
      </c>
      <c r="X84">
        <f>HYPERLINK("https://klasma.github.io/Logging_0880/kartor/A 61236-2022 karta.png", "A 61236-2022")</f>
        <v/>
      </c>
      <c r="Y84">
        <f>HYPERLINK("https://klasma.github.io/Logging_0880/kartor_geotiff/A 61236-2022 georefererad karta.tif", "A 61236-2022")</f>
        <v/>
      </c>
      <c r="AA84">
        <f>HYPERLINK("https://klasma.github.io/Logging_0880/klagomål/A 61236-2022 FSC-klagomål.docx", "A 61236-2022")</f>
        <v/>
      </c>
      <c r="AB84">
        <f>HYPERLINK("https://klasma.github.io/Logging_0880/klagomålsmail/A 61236-2022 FSC-klagomål mail.docx", "A 61236-2022")</f>
        <v/>
      </c>
      <c r="AC84">
        <f>HYPERLINK("https://klasma.github.io/Logging_0880/tillsyn/A 61236-2022 tillsynsbegäran.docx", "A 61236-2022")</f>
        <v/>
      </c>
      <c r="AD84">
        <f>HYPERLINK("https://klasma.github.io/Logging_0880/tillsynsmail/A 61236-2022 tillsynsbegäran mail.docx", "A 61236-2022")</f>
        <v/>
      </c>
    </row>
    <row r="85" ht="15" customHeight="1">
      <c r="A85" t="inlineStr">
        <is>
          <t>A 25202-2023</t>
        </is>
      </c>
      <c r="B85" t="inlineStr">
        <is>
          <t>avverkningsanmälan</t>
        </is>
      </c>
      <c r="C85" t="inlineStr">
        <is>
          <t>Föryngringsavverkning</t>
        </is>
      </c>
      <c r="D85" s="1" t="n">
        <v>45086</v>
      </c>
      <c r="E85" s="1" t="n">
        <v>46231</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60807-2022</t>
        </is>
      </c>
      <c r="B86" t="inlineStr">
        <is>
          <t>avverkningsanmälan</t>
        </is>
      </c>
      <c r="C86" t="inlineStr">
        <is>
          <t>Föryngringsavverkning</t>
        </is>
      </c>
      <c r="D86" s="1" t="n">
        <v>44914</v>
      </c>
      <c r="E86" s="1" t="n">
        <v>46231</v>
      </c>
      <c r="F86" t="inlineStr">
        <is>
          <t>KALMAR LÄN</t>
        </is>
      </c>
      <c r="G86" t="inlineStr">
        <is>
          <t>KALMAR</t>
        </is>
      </c>
      <c r="I86" t="n">
        <v>0.8</v>
      </c>
      <c r="J86" t="n">
        <v>1</v>
      </c>
      <c r="K86" t="n">
        <v>0</v>
      </c>
      <c r="L86" t="n">
        <v>0</v>
      </c>
      <c r="M86" t="n">
        <v>1</v>
      </c>
      <c r="N86" t="n">
        <v>0</v>
      </c>
      <c r="O86" t="n">
        <v>0</v>
      </c>
      <c r="P86" t="n">
        <v>0</v>
      </c>
      <c r="Q86" t="n">
        <v>1</v>
      </c>
      <c r="R86" t="n">
        <v>1</v>
      </c>
      <c r="S86" t="n">
        <v>1</v>
      </c>
      <c r="T86" t="n">
        <v>1</v>
      </c>
      <c r="U86" t="n">
        <v>0</v>
      </c>
      <c r="V86" s="2" t="inlineStr">
        <is>
          <t>Hedblomster</t>
        </is>
      </c>
      <c r="W86">
        <f>HYPERLINK("https://klasma.github.io/Logging_0880/artfynd/A 60807-2022 artfynd.xlsx", "A 60807-2022")</f>
        <v/>
      </c>
      <c r="X86">
        <f>HYPERLINK("https://klasma.github.io/Logging_0880/kartor/A 60807-2022 karta.png", "A 60807-2022")</f>
        <v/>
      </c>
      <c r="Y86">
        <f>HYPERLINK("https://klasma.github.io/Logging_0880/kartor_geotiff/A 60807-2022 georefererad karta.tif", "A 60807-2022")</f>
        <v/>
      </c>
      <c r="AA86">
        <f>HYPERLINK("https://klasma.github.io/Logging_0880/klagomål/A 60807-2022 FSC-klagomål.docx", "A 60807-2022")</f>
        <v/>
      </c>
      <c r="AB86">
        <f>HYPERLINK("https://klasma.github.io/Logging_0880/klagomålsmail/A 60807-2022 FSC-klagomål mail.docx", "A 60807-2022")</f>
        <v/>
      </c>
      <c r="AC86">
        <f>HYPERLINK("https://klasma.github.io/Logging_0880/tillsyn/A 60807-2022 tillsynsbegäran.docx", "A 60807-2022")</f>
        <v/>
      </c>
      <c r="AD86">
        <f>HYPERLINK("https://klasma.github.io/Logging_0880/tillsynsmail/A 60807-2022 tillsynsbegäran mail.docx", "A 60807-2022")</f>
        <v/>
      </c>
    </row>
    <row r="87" ht="15" customHeight="1">
      <c r="A87" t="inlineStr">
        <is>
          <t>A 9369-2026</t>
        </is>
      </c>
      <c r="B87" t="inlineStr">
        <is>
          <t>avverkningsanmälan</t>
        </is>
      </c>
      <c r="C87" t="inlineStr">
        <is>
          <t>Föryngringsavverkning</t>
        </is>
      </c>
      <c r="D87" s="1" t="n">
        <v>46070</v>
      </c>
      <c r="E87" s="1" t="n">
        <v>46231</v>
      </c>
      <c r="F87" t="inlineStr">
        <is>
          <t>KALMAR LÄN</t>
        </is>
      </c>
      <c r="G87" t="inlineStr">
        <is>
          <t>KALMAR</t>
        </is>
      </c>
      <c r="I87" t="n">
        <v>2.4</v>
      </c>
      <c r="J87" t="n">
        <v>0</v>
      </c>
      <c r="K87" t="n">
        <v>1</v>
      </c>
      <c r="L87" t="n">
        <v>0</v>
      </c>
      <c r="M87" t="n">
        <v>0</v>
      </c>
      <c r="N87" t="n">
        <v>0</v>
      </c>
      <c r="O87" t="n">
        <v>0</v>
      </c>
      <c r="P87" t="n">
        <v>0</v>
      </c>
      <c r="Q87" t="n">
        <v>0</v>
      </c>
      <c r="R87" t="n">
        <v>0</v>
      </c>
      <c r="S87" t="n">
        <v>1</v>
      </c>
      <c r="T87" t="n">
        <v>1</v>
      </c>
      <c r="U87" t="n">
        <v>0</v>
      </c>
      <c r="V87" s="2" t="inlineStr">
        <is>
          <t>Sprängtickgnagare</t>
        </is>
      </c>
      <c r="W87">
        <f>HYPERLINK("https://klasma.github.io/Logging_0880/artfynd/A 9369-2026 artfynd.xlsx", "A 9369-2026")</f>
        <v/>
      </c>
      <c r="X87">
        <f>HYPERLINK("https://klasma.github.io/Logging_0880/kartor/A 9369-2026 karta.png", "A 9369-2026")</f>
        <v/>
      </c>
      <c r="Y87">
        <f>HYPERLINK("https://klasma.github.io/Logging_0880/kartor_geotiff/A 9369-2026 georefererad karta.tif", "A 9369-2026")</f>
        <v/>
      </c>
      <c r="AA87">
        <f>HYPERLINK("https://klasma.github.io/Logging_0880/klagomål/A 9369-2026 FSC-klagomål.docx", "A 9369-2026")</f>
        <v/>
      </c>
      <c r="AB87">
        <f>HYPERLINK("https://klasma.github.io/Logging_0880/klagomålsmail/A 9369-2026 FSC-klagomål mail.docx", "A 9369-2026")</f>
        <v/>
      </c>
      <c r="AC87">
        <f>HYPERLINK("https://klasma.github.io/Logging_0880/tillsyn/A 9369-2026 tillsynsbegäran.docx", "A 9369-2026")</f>
        <v/>
      </c>
      <c r="AD87">
        <f>HYPERLINK("https://klasma.github.io/Logging_0880/tillsynsmail/A 9369-2026 tillsynsbegäran mail.docx", "A 9369-2026")</f>
        <v/>
      </c>
    </row>
    <row r="88" ht="15" customHeight="1">
      <c r="A88" t="inlineStr">
        <is>
          <t>A 13724-2023</t>
        </is>
      </c>
      <c r="B88" t="inlineStr">
        <is>
          <t>avverkningsanmälan</t>
        </is>
      </c>
      <c r="C88" t="inlineStr">
        <is>
          <t>Föryngringsavverkning</t>
        </is>
      </c>
      <c r="D88" s="1" t="n">
        <v>45007</v>
      </c>
      <c r="E88" s="1" t="n">
        <v>46231</v>
      </c>
      <c r="F88" t="inlineStr">
        <is>
          <t>KALMAR LÄN</t>
        </is>
      </c>
      <c r="G88" t="inlineStr">
        <is>
          <t>KALMAR</t>
        </is>
      </c>
      <c r="I88" t="n">
        <v>2.5</v>
      </c>
      <c r="J88" t="n">
        <v>0</v>
      </c>
      <c r="K88" t="n">
        <v>0</v>
      </c>
      <c r="L88" t="n">
        <v>1</v>
      </c>
      <c r="M88" t="n">
        <v>0</v>
      </c>
      <c r="N88" t="n">
        <v>0</v>
      </c>
      <c r="O88" t="n">
        <v>0</v>
      </c>
      <c r="P88" t="n">
        <v>0</v>
      </c>
      <c r="Q88" t="n">
        <v>1</v>
      </c>
      <c r="R88" t="n">
        <v>0</v>
      </c>
      <c r="S88" t="n">
        <v>1</v>
      </c>
      <c r="T88" t="n">
        <v>1</v>
      </c>
      <c r="U88" t="n">
        <v>1</v>
      </c>
      <c r="V88" s="2" t="inlineStr">
        <is>
          <t>Jungfrulin</t>
        </is>
      </c>
      <c r="W88">
        <f>HYPERLINK("https://klasma.github.io/Logging_0880/artfynd/A 13724-2023 artfynd.xlsx", "A 13724-2023")</f>
        <v/>
      </c>
      <c r="X88">
        <f>HYPERLINK("https://klasma.github.io/Logging_0880/kartor/A 13724-2023 karta.png", "A 13724-2023")</f>
        <v/>
      </c>
      <c r="Y88">
        <f>HYPERLINK("https://klasma.github.io/Logging_0880/kartor_geotiff/A 13724-2023 georefererad karta.tif", "A 13724-2023")</f>
        <v/>
      </c>
      <c r="AA88">
        <f>HYPERLINK("https://klasma.github.io/Logging_0880/klagomål/A 13724-2023 FSC-klagomål.docx", "A 13724-2023")</f>
        <v/>
      </c>
      <c r="AB88">
        <f>HYPERLINK("https://klasma.github.io/Logging_0880/klagomålsmail/A 13724-2023 FSC-klagomål mail.docx", "A 13724-2023")</f>
        <v/>
      </c>
      <c r="AC88">
        <f>HYPERLINK("https://klasma.github.io/Logging_0880/tillsyn/A 13724-2023 tillsynsbegäran.docx", "A 13724-2023")</f>
        <v/>
      </c>
      <c r="AD88">
        <f>HYPERLINK("https://klasma.github.io/Logging_0880/tillsynsmail/A 13724-2023 tillsynsbegäran mail.docx", "A 13724-2023")</f>
        <v/>
      </c>
    </row>
    <row r="89" ht="15" customHeight="1">
      <c r="A89" t="inlineStr">
        <is>
          <t>A 36389-2025</t>
        </is>
      </c>
      <c r="B89" t="inlineStr">
        <is>
          <t>avverkningsanmälan</t>
        </is>
      </c>
      <c r="C89" t="inlineStr">
        <is>
          <t>Föryngringsavverkning</t>
        </is>
      </c>
      <c r="D89" s="1" t="n">
        <v>45868</v>
      </c>
      <c r="E89" s="1" t="n">
        <v>46231</v>
      </c>
      <c r="F89" t="inlineStr">
        <is>
          <t>KALMAR LÄN</t>
        </is>
      </c>
      <c r="G89" t="inlineStr">
        <is>
          <t>KALMAR</t>
        </is>
      </c>
      <c r="I89" t="n">
        <v>4</v>
      </c>
      <c r="J89" t="n">
        <v>0</v>
      </c>
      <c r="K89" t="n">
        <v>1</v>
      </c>
      <c r="L89" t="n">
        <v>0</v>
      </c>
      <c r="M89" t="n">
        <v>0</v>
      </c>
      <c r="N89" t="n">
        <v>0</v>
      </c>
      <c r="O89" t="n">
        <v>0</v>
      </c>
      <c r="P89" t="n">
        <v>0</v>
      </c>
      <c r="Q89" t="n">
        <v>0</v>
      </c>
      <c r="R89" t="n">
        <v>0</v>
      </c>
      <c r="S89" t="n">
        <v>1</v>
      </c>
      <c r="T89" t="n">
        <v>1</v>
      </c>
      <c r="U89" t="n">
        <v>0</v>
      </c>
      <c r="V89" s="2" t="inlineStr">
        <is>
          <t>Blåmossa</t>
        </is>
      </c>
      <c r="W89">
        <f>HYPERLINK("https://klasma.github.io/Logging_0880/artfynd/A 36389-2025 artfynd.xlsx", "A 36389-2025")</f>
        <v/>
      </c>
      <c r="X89">
        <f>HYPERLINK("https://klasma.github.io/Logging_0880/kartor/A 36389-2025 karta.png", "A 36389-2025")</f>
        <v/>
      </c>
      <c r="Y89">
        <f>HYPERLINK("https://klasma.github.io/Logging_0880/kartor_geotiff/A 36389-2025 georefererad karta.tif", "A 36389-2025")</f>
        <v/>
      </c>
      <c r="AA89">
        <f>HYPERLINK("https://klasma.github.io/Logging_0880/klagomål/A 36389-2025 FSC-klagomål.docx", "A 36389-2025")</f>
        <v/>
      </c>
      <c r="AB89">
        <f>HYPERLINK("https://klasma.github.io/Logging_0880/klagomålsmail/A 36389-2025 FSC-klagomål mail.docx", "A 36389-2025")</f>
        <v/>
      </c>
      <c r="AC89">
        <f>HYPERLINK("https://klasma.github.io/Logging_0880/tillsyn/A 36389-2025 tillsynsbegäran.docx", "A 36389-2025")</f>
        <v/>
      </c>
      <c r="AD89">
        <f>HYPERLINK("https://klasma.github.io/Logging_0880/tillsynsmail/A 36389-2025 tillsynsbegäran mail.docx", "A 36389-2025")</f>
        <v/>
      </c>
    </row>
    <row r="90" ht="15" customHeight="1">
      <c r="A90" t="inlineStr">
        <is>
          <t>A 27054-2022</t>
        </is>
      </c>
      <c r="B90" t="inlineStr">
        <is>
          <t>avverkningsanmälan</t>
        </is>
      </c>
      <c r="C90" t="inlineStr">
        <is>
          <t>Föryngringsavverkning</t>
        </is>
      </c>
      <c r="D90" s="1" t="n">
        <v>44740</v>
      </c>
      <c r="E90" s="1" t="n">
        <v>46231</v>
      </c>
      <c r="F90" t="inlineStr">
        <is>
          <t>KALMAR LÄN</t>
        </is>
      </c>
      <c r="G90" t="inlineStr">
        <is>
          <t>KALMAR</t>
        </is>
      </c>
      <c r="I90" t="n">
        <v>1.1</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HYPERLINK("https://klasma.github.io/Logging_0880/artfynd/A 27054-2022 artfynd.xlsx", "A 27054-2022")</f>
        <v/>
      </c>
      <c r="X90">
        <f>HYPERLINK("https://klasma.github.io/Logging_0880/kartor/A 27054-2022 karta.png", "A 27054-2022")</f>
        <v/>
      </c>
      <c r="Y90">
        <f>HYPERLINK("https://klasma.github.io/Logging_0880/kartor_geotiff/A 27054-2022 georefererad karta.tif", "A 27054-2022")</f>
        <v/>
      </c>
      <c r="AA90">
        <f>HYPERLINK("https://klasma.github.io/Logging_0880/klagomål/A 27054-2022 FSC-klagomål.docx", "A 27054-2022")</f>
        <v/>
      </c>
      <c r="AB90">
        <f>HYPERLINK("https://klasma.github.io/Logging_0880/klagomålsmail/A 27054-2022 FSC-klagomål mail.docx", "A 27054-2022")</f>
        <v/>
      </c>
      <c r="AC90">
        <f>HYPERLINK("https://klasma.github.io/Logging_0880/tillsyn/A 27054-2022 tillsynsbegäran.docx", "A 27054-2022")</f>
        <v/>
      </c>
      <c r="AD90">
        <f>HYPERLINK("https://klasma.github.io/Logging_0880/tillsynsmail/A 27054-2022 tillsynsbegäran mail.docx", "A 27054-2022")</f>
        <v/>
      </c>
    </row>
    <row r="91" ht="15" customHeight="1">
      <c r="A91" t="inlineStr">
        <is>
          <t>A 37797-2022</t>
        </is>
      </c>
      <c r="B91" t="inlineStr">
        <is>
          <t>avverkningsanmälan</t>
        </is>
      </c>
      <c r="C91" t="inlineStr">
        <is>
          <t>Föryngringsavverkning</t>
        </is>
      </c>
      <c r="D91" s="1" t="n">
        <v>44810</v>
      </c>
      <c r="E91" s="1" t="n">
        <v>46231</v>
      </c>
      <c r="F91" t="inlineStr">
        <is>
          <t>KALMAR LÄN</t>
        </is>
      </c>
      <c r="G91" t="inlineStr">
        <is>
          <t>KALMAR</t>
        </is>
      </c>
      <c r="I91" t="n">
        <v>3.8</v>
      </c>
      <c r="J91" t="n">
        <v>0</v>
      </c>
      <c r="K91" t="n">
        <v>0</v>
      </c>
      <c r="L91" t="n">
        <v>1</v>
      </c>
      <c r="M91" t="n">
        <v>0</v>
      </c>
      <c r="N91" t="n">
        <v>0</v>
      </c>
      <c r="O91" t="n">
        <v>0</v>
      </c>
      <c r="P91" t="n">
        <v>0</v>
      </c>
      <c r="Q91" t="n">
        <v>1</v>
      </c>
      <c r="R91" t="n">
        <v>0</v>
      </c>
      <c r="S91" t="n">
        <v>1</v>
      </c>
      <c r="T91" t="n">
        <v>1</v>
      </c>
      <c r="U91" t="n">
        <v>0</v>
      </c>
      <c r="V91" s="2" t="inlineStr">
        <is>
          <t>Skogshare</t>
        </is>
      </c>
      <c r="W91">
        <f>HYPERLINK("https://klasma.github.io/Logging_0880/artfynd/A 37797-2022 artfynd.xlsx", "A 37797-2022")</f>
        <v/>
      </c>
      <c r="X91">
        <f>HYPERLINK("https://klasma.github.io/Logging_0880/kartor/A 37797-2022 karta.png", "A 37797-2022")</f>
        <v/>
      </c>
      <c r="Y91">
        <f>HYPERLINK("https://klasma.github.io/Logging_0880/kartor_geotiff/A 37797-2022 georefererad karta.tif", "A 37797-2022")</f>
        <v/>
      </c>
      <c r="AA91">
        <f>HYPERLINK("https://klasma.github.io/Logging_0880/klagomål/A 37797-2022 FSC-klagomål.docx", "A 37797-2022")</f>
        <v/>
      </c>
      <c r="AB91">
        <f>HYPERLINK("https://klasma.github.io/Logging_0880/klagomålsmail/A 37797-2022 FSC-klagomål mail.docx", "A 37797-2022")</f>
        <v/>
      </c>
      <c r="AC91">
        <f>HYPERLINK("https://klasma.github.io/Logging_0880/tillsyn/A 37797-2022 tillsynsbegäran.docx", "A 37797-2022")</f>
        <v/>
      </c>
      <c r="AD91">
        <f>HYPERLINK("https://klasma.github.io/Logging_0880/tillsynsmail/A 37797-2022 tillsynsbegäran mail.docx", "A 37797-2022")</f>
        <v/>
      </c>
    </row>
    <row r="92" ht="15" customHeight="1">
      <c r="A92" t="inlineStr">
        <is>
          <t>A 16473-2026</t>
        </is>
      </c>
      <c r="B92" t="inlineStr">
        <is>
          <t>avverkningsanmälan</t>
        </is>
      </c>
      <c r="C92" t="inlineStr">
        <is>
          <t>Föryngringsavverkning</t>
        </is>
      </c>
      <c r="D92" s="1" t="n">
        <v>46112</v>
      </c>
      <c r="E92" s="1" t="n">
        <v>46231</v>
      </c>
      <c r="F92" t="inlineStr">
        <is>
          <t>KALMAR LÄN</t>
        </is>
      </c>
      <c r="G92" t="inlineStr">
        <is>
          <t>KALMAR</t>
        </is>
      </c>
      <c r="I92" t="n">
        <v>1.9</v>
      </c>
      <c r="J92" t="n">
        <v>1</v>
      </c>
      <c r="K92" t="n">
        <v>0</v>
      </c>
      <c r="L92" t="n">
        <v>1</v>
      </c>
      <c r="M92" t="n">
        <v>0</v>
      </c>
      <c r="N92" t="n">
        <v>0</v>
      </c>
      <c r="O92" t="n">
        <v>0</v>
      </c>
      <c r="P92" t="n">
        <v>0</v>
      </c>
      <c r="Q92" t="n">
        <v>1</v>
      </c>
      <c r="R92" t="n">
        <v>0</v>
      </c>
      <c r="S92" t="n">
        <v>1</v>
      </c>
      <c r="T92" t="n">
        <v>1</v>
      </c>
      <c r="U92" t="n">
        <v>0</v>
      </c>
      <c r="V92" s="2" t="inlineStr">
        <is>
          <t>Grönsångare</t>
        </is>
      </c>
      <c r="W92">
        <f>HYPERLINK("https://klasma.github.io/Logging_0880/artfynd/A 16473-2026 artfynd.xlsx", "A 16473-2026")</f>
        <v/>
      </c>
      <c r="X92">
        <f>HYPERLINK("https://klasma.github.io/Logging_0880/kartor/A 16473-2026 karta.png", "A 16473-2026")</f>
        <v/>
      </c>
      <c r="Y92">
        <f>HYPERLINK("https://klasma.github.io/Logging_0880/kartor_geotiff/A 16473-2026 georefererad karta.tif", "A 16473-2026")</f>
        <v/>
      </c>
      <c r="AA92">
        <f>HYPERLINK("https://klasma.github.io/Logging_0880/klagomål/A 16473-2026 FSC-klagomål.docx", "A 16473-2026")</f>
        <v/>
      </c>
      <c r="AB92">
        <f>HYPERLINK("https://klasma.github.io/Logging_0880/klagomålsmail/A 16473-2026 FSC-klagomål mail.docx", "A 16473-2026")</f>
        <v/>
      </c>
      <c r="AC92">
        <f>HYPERLINK("https://klasma.github.io/Logging_0880/tillsyn/A 16473-2026 tillsynsbegäran.docx", "A 16473-2026")</f>
        <v/>
      </c>
      <c r="AD92">
        <f>HYPERLINK("https://klasma.github.io/Logging_0880/tillsynsmail/A 16473-2026 tillsynsbegäran mail.docx", "A 16473-2026")</f>
        <v/>
      </c>
      <c r="AE92">
        <f>HYPERLINK("https://klasma.github.io/Logging_0880/fåglar/A 16473-2026 prioriterade fågelarter.docx", "A 16473-2026")</f>
        <v/>
      </c>
    </row>
    <row r="93" ht="15" customHeight="1">
      <c r="A93" t="inlineStr">
        <is>
          <t>A 17343-2026</t>
        </is>
      </c>
      <c r="B93" t="inlineStr">
        <is>
          <t>avverkningsanmälan</t>
        </is>
      </c>
      <c r="C93" t="inlineStr">
        <is>
          <t>Föryngringsavverkning</t>
        </is>
      </c>
      <c r="D93" s="1" t="n">
        <v>46119</v>
      </c>
      <c r="E93" s="1" t="n">
        <v>46231</v>
      </c>
      <c r="F93" t="inlineStr">
        <is>
          <t>KALMAR LÄN</t>
        </is>
      </c>
      <c r="G93" t="inlineStr">
        <is>
          <t>KALMAR</t>
        </is>
      </c>
      <c r="I93" t="n">
        <v>5.1</v>
      </c>
      <c r="J93" t="n">
        <v>0</v>
      </c>
      <c r="K93" t="n">
        <v>0</v>
      </c>
      <c r="L93" t="n">
        <v>0</v>
      </c>
      <c r="M93" t="n">
        <v>1</v>
      </c>
      <c r="N93" t="n">
        <v>0</v>
      </c>
      <c r="O93" t="n">
        <v>0</v>
      </c>
      <c r="P93" t="n">
        <v>0</v>
      </c>
      <c r="Q93" t="n">
        <v>1</v>
      </c>
      <c r="R93" t="n">
        <v>1</v>
      </c>
      <c r="S93" t="n">
        <v>1</v>
      </c>
      <c r="T93" t="n">
        <v>1</v>
      </c>
      <c r="U93" t="n">
        <v>0</v>
      </c>
      <c r="V93" s="2" t="inlineStr">
        <is>
          <t>Igelkott</t>
        </is>
      </c>
      <c r="W93">
        <f>HYPERLINK("https://klasma.github.io/Logging_0880/artfynd/A 17343-2026 artfynd.xlsx", "A 17343-2026")</f>
        <v/>
      </c>
      <c r="X93">
        <f>HYPERLINK("https://klasma.github.io/Logging_0880/kartor/A 17343-2026 karta.png", "A 17343-2026")</f>
        <v/>
      </c>
      <c r="Y93">
        <f>HYPERLINK("https://klasma.github.io/Logging_0880/kartor_geotiff/A 17343-2026 georefererad karta.tif", "A 17343-2026")</f>
        <v/>
      </c>
      <c r="AA93">
        <f>HYPERLINK("https://klasma.github.io/Logging_0880/klagomål/A 17343-2026 FSC-klagomål.docx", "A 17343-2026")</f>
        <v/>
      </c>
      <c r="AB93">
        <f>HYPERLINK("https://klasma.github.io/Logging_0880/klagomålsmail/A 17343-2026 FSC-klagomål mail.docx", "A 17343-2026")</f>
        <v/>
      </c>
      <c r="AC93">
        <f>HYPERLINK("https://klasma.github.io/Logging_0880/tillsyn/A 17343-2026 tillsynsbegäran.docx", "A 17343-2026")</f>
        <v/>
      </c>
      <c r="AD93">
        <f>HYPERLINK("https://klasma.github.io/Logging_0880/tillsynsmail/A 17343-2026 tillsynsbegäran mail.docx", "A 17343-2026")</f>
        <v/>
      </c>
    </row>
    <row r="94" ht="15" customHeight="1">
      <c r="A94" t="inlineStr">
        <is>
          <t>A 44734-2025</t>
        </is>
      </c>
      <c r="B94" t="inlineStr">
        <is>
          <t>avverkningsanmälan</t>
        </is>
      </c>
      <c r="C94" t="inlineStr">
        <is>
          <t>Föryngringsavverkning</t>
        </is>
      </c>
      <c r="D94" s="1" t="n">
        <v>45917</v>
      </c>
      <c r="E94" s="1" t="n">
        <v>46231</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1929-2022</t>
        </is>
      </c>
      <c r="B95" t="inlineStr">
        <is>
          <t>avverkningsanmälan</t>
        </is>
      </c>
      <c r="C95" t="inlineStr">
        <is>
          <t>Föryngringsavverkning</t>
        </is>
      </c>
      <c r="D95" s="1" t="n">
        <v>44575</v>
      </c>
      <c r="E95" s="1" t="n">
        <v>46231</v>
      </c>
      <c r="F95" t="inlineStr">
        <is>
          <t>KALMAR LÄN</t>
        </is>
      </c>
      <c r="G95" t="inlineStr">
        <is>
          <t>KALMAR</t>
        </is>
      </c>
      <c r="I95" t="n">
        <v>3.3</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1929-2022 artfynd.xlsx", "A 1929-2022")</f>
        <v/>
      </c>
      <c r="X95">
        <f>HYPERLINK("https://klasma.github.io/Logging_0880/kartor/A 1929-2022 karta.png", "A 1929-2022")</f>
        <v/>
      </c>
      <c r="Y95">
        <f>HYPERLINK("https://klasma.github.io/Logging_0880/kartor_geotiff/A 1929-2022 georefererad karta.tif", "A 1929-2022")</f>
        <v/>
      </c>
      <c r="Z95">
        <f>HYPERLINK("https://klasma.github.io/Logging_0880/knärot/A 1929-2022 karta knärot.png", "A 1929-2022")</f>
        <v/>
      </c>
      <c r="AA95">
        <f>HYPERLINK("https://klasma.github.io/Logging_0880/klagomål/A 1929-2022 FSC-klagomål.docx", "A 1929-2022")</f>
        <v/>
      </c>
      <c r="AB95">
        <f>HYPERLINK("https://klasma.github.io/Logging_0880/klagomålsmail/A 1929-2022 FSC-klagomål mail.docx", "A 1929-2022")</f>
        <v/>
      </c>
      <c r="AC95">
        <f>HYPERLINK("https://klasma.github.io/Logging_0880/tillsyn/A 1929-2022 tillsynsbegäran.docx", "A 1929-2022")</f>
        <v/>
      </c>
      <c r="AD95">
        <f>HYPERLINK("https://klasma.github.io/Logging_0880/tillsynsmail/A 1929-2022 tillsynsbegäran mail.docx", "A 1929-2022")</f>
        <v/>
      </c>
    </row>
    <row r="96" ht="15" customHeight="1">
      <c r="A96" t="inlineStr">
        <is>
          <t>A 10924-2023</t>
        </is>
      </c>
      <c r="B96" t="inlineStr">
        <is>
          <t>avverkningsanmälan</t>
        </is>
      </c>
      <c r="C96" t="inlineStr">
        <is>
          <t>Föryngringsavverkning</t>
        </is>
      </c>
      <c r="D96" s="1" t="n">
        <v>44991</v>
      </c>
      <c r="E96" s="1" t="n">
        <v>46231</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22014-2023</t>
        </is>
      </c>
      <c r="B97" t="inlineStr">
        <is>
          <t>avverkningsanmälan</t>
        </is>
      </c>
      <c r="C97" t="inlineStr">
        <is>
          <t>Föryngringsavverkning</t>
        </is>
      </c>
      <c r="D97" s="1" t="n">
        <v>45069</v>
      </c>
      <c r="E97" s="1" t="n">
        <v>46231</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13725-2023</t>
        </is>
      </c>
      <c r="B98" t="inlineStr">
        <is>
          <t>avverkningsanmälan</t>
        </is>
      </c>
      <c r="C98" t="inlineStr">
        <is>
          <t>Föryngringsavverkning</t>
        </is>
      </c>
      <c r="D98" s="1" t="n">
        <v>45007</v>
      </c>
      <c r="E98" s="1" t="n">
        <v>46231</v>
      </c>
      <c r="F98" t="inlineStr">
        <is>
          <t>KALMAR LÄN</t>
        </is>
      </c>
      <c r="G98" t="inlineStr">
        <is>
          <t>KALMAR</t>
        </is>
      </c>
      <c r="I98" t="n">
        <v>2.2</v>
      </c>
      <c r="J98" t="n">
        <v>1</v>
      </c>
      <c r="K98" t="n">
        <v>0</v>
      </c>
      <c r="L98" t="n">
        <v>1</v>
      </c>
      <c r="M98" t="n">
        <v>0</v>
      </c>
      <c r="N98" t="n">
        <v>0</v>
      </c>
      <c r="O98" t="n">
        <v>0</v>
      </c>
      <c r="P98" t="n">
        <v>0</v>
      </c>
      <c r="Q98" t="n">
        <v>1</v>
      </c>
      <c r="R98" t="n">
        <v>0</v>
      </c>
      <c r="S98" t="n">
        <v>1</v>
      </c>
      <c r="T98" t="n">
        <v>1</v>
      </c>
      <c r="U98" t="n">
        <v>1</v>
      </c>
      <c r="V98" s="2" t="inlineStr">
        <is>
          <t>Gulsparv</t>
        </is>
      </c>
      <c r="W98">
        <f>HYPERLINK("https://klasma.github.io/Logging_0880/artfynd/A 13725-2023 artfynd.xlsx", "A 13725-2023")</f>
        <v/>
      </c>
      <c r="X98">
        <f>HYPERLINK("https://klasma.github.io/Logging_0880/kartor/A 13725-2023 karta.png", "A 13725-2023")</f>
        <v/>
      </c>
      <c r="Y98">
        <f>HYPERLINK("https://klasma.github.io/Logging_0880/kartor_geotiff/A 13725-2023 georefererad karta.tif", "A 13725-2023")</f>
        <v/>
      </c>
      <c r="AA98">
        <f>HYPERLINK("https://klasma.github.io/Logging_0880/klagomål/A 13725-2023 FSC-klagomål.docx", "A 13725-2023")</f>
        <v/>
      </c>
      <c r="AB98">
        <f>HYPERLINK("https://klasma.github.io/Logging_0880/klagomålsmail/A 13725-2023 FSC-klagomål mail.docx", "A 13725-2023")</f>
        <v/>
      </c>
      <c r="AC98">
        <f>HYPERLINK("https://klasma.github.io/Logging_0880/tillsyn/A 13725-2023 tillsynsbegäran.docx", "A 13725-2023")</f>
        <v/>
      </c>
      <c r="AD98">
        <f>HYPERLINK("https://klasma.github.io/Logging_0880/tillsynsmail/A 13725-2023 tillsynsbegäran mail.docx", "A 13725-2023")</f>
        <v/>
      </c>
      <c r="AE98">
        <f>HYPERLINK("https://klasma.github.io/Logging_0880/fåglar/A 13725-2023 prioriterade fågelarter.docx", "A 13725-2023")</f>
        <v/>
      </c>
    </row>
    <row r="99" ht="15" customHeight="1">
      <c r="A99" t="inlineStr">
        <is>
          <t>A 61401-2023</t>
        </is>
      </c>
      <c r="B99" t="inlineStr">
        <is>
          <t>avverkningsanmälan</t>
        </is>
      </c>
      <c r="C99" t="inlineStr">
        <is>
          <t>Föryngringsavverkning</t>
        </is>
      </c>
      <c r="D99" s="1" t="n">
        <v>45264</v>
      </c>
      <c r="E99" s="1" t="n">
        <v>46231</v>
      </c>
      <c r="F99" t="inlineStr">
        <is>
          <t>KALMAR LÄN</t>
        </is>
      </c>
      <c r="G99" t="inlineStr">
        <is>
          <t>KALMAR</t>
        </is>
      </c>
      <c r="I99" t="n">
        <v>1.9</v>
      </c>
      <c r="J99" t="n">
        <v>1</v>
      </c>
      <c r="K99" t="n">
        <v>0</v>
      </c>
      <c r="L99" t="n">
        <v>0</v>
      </c>
      <c r="M99" t="n">
        <v>1</v>
      </c>
      <c r="N99" t="n">
        <v>0</v>
      </c>
      <c r="O99" t="n">
        <v>0</v>
      </c>
      <c r="P99" t="n">
        <v>0</v>
      </c>
      <c r="Q99" t="n">
        <v>1</v>
      </c>
      <c r="R99" t="n">
        <v>1</v>
      </c>
      <c r="S99" t="n">
        <v>1</v>
      </c>
      <c r="T99" t="n">
        <v>3</v>
      </c>
      <c r="U99" t="n">
        <v>0</v>
      </c>
      <c r="V99" s="2" t="inlineStr">
        <is>
          <t>Knärot</t>
        </is>
      </c>
      <c r="W99">
        <f>HYPERLINK("https://klasma.github.io/Logging_0880/artfynd/A 61401-2023 artfynd.xlsx", "A 61401-2023")</f>
        <v/>
      </c>
      <c r="X99">
        <f>HYPERLINK("https://klasma.github.io/Logging_0880/kartor/A 61401-2023 karta.png", "A 61401-2023")</f>
        <v/>
      </c>
      <c r="Y99">
        <f>HYPERLINK("https://klasma.github.io/Logging_0880/kartor_geotiff/A 61401-2023 georefererad karta.tif", "A 61401-2023")</f>
        <v/>
      </c>
      <c r="Z99">
        <f>HYPERLINK("https://klasma.github.io/Logging_0880/knärot/A 61401-2023 karta knärot.png", "A 61401-2023")</f>
        <v/>
      </c>
      <c r="AA99">
        <f>HYPERLINK("https://klasma.github.io/Logging_0880/klagomål/A 61401-2023 FSC-klagomål.docx", "A 61401-2023")</f>
        <v/>
      </c>
      <c r="AB99">
        <f>HYPERLINK("https://klasma.github.io/Logging_0880/klagomålsmail/A 61401-2023 FSC-klagomål mail.docx", "A 61401-2023")</f>
        <v/>
      </c>
      <c r="AC99">
        <f>HYPERLINK("https://klasma.github.io/Logging_0880/tillsyn/A 61401-2023 tillsynsbegäran.docx", "A 61401-2023")</f>
        <v/>
      </c>
      <c r="AD99">
        <f>HYPERLINK("https://klasma.github.io/Logging_0880/tillsynsmail/A 61401-2023 tillsynsbegäran mail.docx", "A 61401-2023")</f>
        <v/>
      </c>
    </row>
    <row r="100" ht="15" customHeight="1">
      <c r="A100" t="inlineStr">
        <is>
          <t>A 57212-2022</t>
        </is>
      </c>
      <c r="B100" t="inlineStr">
        <is>
          <t>avverkningsanmälan</t>
        </is>
      </c>
      <c r="C100" t="inlineStr">
        <is>
          <t>Föryngringsavverkning</t>
        </is>
      </c>
      <c r="D100" s="1" t="n">
        <v>44895</v>
      </c>
      <c r="E100" s="1" t="n">
        <v>46231</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1</v>
      </c>
      <c r="V100" s="2" t="inlineStr">
        <is>
          <t>Kornknutmossa</t>
        </is>
      </c>
      <c r="W100">
        <f>HYPERLINK("https://klasma.github.io/Logging_0880/artfynd/A 57212-2022 artfynd.xlsx", "A 57212-2022")</f>
        <v/>
      </c>
      <c r="X100">
        <f>HYPERLINK("https://klasma.github.io/Logging_0880/kartor/A 57212-2022 karta.png", "A 57212-2022")</f>
        <v/>
      </c>
      <c r="Y100">
        <f>HYPERLINK("https://klasma.github.io/Logging_0880/kartor_geotiff/A 57212-2022 georefererad karta.tif", "A 57212-2022")</f>
        <v/>
      </c>
      <c r="AA100">
        <f>HYPERLINK("https://klasma.github.io/Logging_0880/klagomål/A 57212-2022 FSC-klagomål.docx", "A 57212-2022")</f>
        <v/>
      </c>
      <c r="AB100">
        <f>HYPERLINK("https://klasma.github.io/Logging_0880/klagomålsmail/A 57212-2022 FSC-klagomål mail.docx", "A 57212-2022")</f>
        <v/>
      </c>
      <c r="AC100">
        <f>HYPERLINK("https://klasma.github.io/Logging_0880/tillsyn/A 57212-2022 tillsynsbegäran.docx", "A 57212-2022")</f>
        <v/>
      </c>
      <c r="AD100">
        <f>HYPERLINK("https://klasma.github.io/Logging_0880/tillsynsmail/A 57212-2022 tillsynsbegäran mail.docx", "A 57212-2022")</f>
        <v/>
      </c>
    </row>
    <row r="101" ht="15" customHeight="1">
      <c r="A101" t="inlineStr">
        <is>
          <t>A 52670-2021</t>
        </is>
      </c>
      <c r="B101" t="inlineStr">
        <is>
          <t>avverkningsanmälan</t>
        </is>
      </c>
      <c r="C101" t="inlineStr">
        <is>
          <t>Föryngringsavverkning</t>
        </is>
      </c>
      <c r="D101" s="1" t="n">
        <v>44466</v>
      </c>
      <c r="E101" s="1" t="n">
        <v>46231</v>
      </c>
      <c r="F101" t="inlineStr">
        <is>
          <t>KALMAR LÄN</t>
        </is>
      </c>
      <c r="G101" t="inlineStr">
        <is>
          <t>KALMAR</t>
        </is>
      </c>
      <c r="I101" t="n">
        <v>5.7</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52670-2021 artfynd.xlsx", "A 52670-2021")</f>
        <v/>
      </c>
      <c r="X101">
        <f>HYPERLINK("https://klasma.github.io/Logging_0880/kartor/A 52670-2021 karta.png", "A 52670-2021")</f>
        <v/>
      </c>
      <c r="Y101">
        <f>HYPERLINK("https://klasma.github.io/Logging_0880/kartor_geotiff/A 52670-2021 georefererad karta.tif", "A 52670-2021")</f>
        <v/>
      </c>
      <c r="Z101">
        <f>HYPERLINK("https://klasma.github.io/Logging_0880/knärot/A 52670-2021 karta knärot.png", "A 52670-2021")</f>
        <v/>
      </c>
      <c r="AA101">
        <f>HYPERLINK("https://klasma.github.io/Logging_0880/klagomål/A 52670-2021 FSC-klagomål.docx", "A 52670-2021")</f>
        <v/>
      </c>
      <c r="AB101">
        <f>HYPERLINK("https://klasma.github.io/Logging_0880/klagomålsmail/A 52670-2021 FSC-klagomål mail.docx", "A 52670-2021")</f>
        <v/>
      </c>
      <c r="AC101">
        <f>HYPERLINK("https://klasma.github.io/Logging_0880/tillsyn/A 52670-2021 tillsynsbegäran.docx", "A 52670-2021")</f>
        <v/>
      </c>
      <c r="AD101">
        <f>HYPERLINK("https://klasma.github.io/Logging_0880/tillsynsmail/A 52670-2021 tillsynsbegäran mail.docx", "A 52670-2021")</f>
        <v/>
      </c>
    </row>
    <row r="102" ht="15" customHeight="1">
      <c r="A102" t="inlineStr">
        <is>
          <t>A 28912-2026</t>
        </is>
      </c>
      <c r="B102" t="inlineStr">
        <is>
          <t>avverkningsanmälan</t>
        </is>
      </c>
      <c r="C102" t="inlineStr">
        <is>
          <t>Föryngringsavverkning</t>
        </is>
      </c>
      <c r="D102" s="1" t="n">
        <v>46199</v>
      </c>
      <c r="E102" s="1" t="n">
        <v>46231</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31556-2023</t>
        </is>
      </c>
      <c r="B103" t="inlineStr">
        <is>
          <t>avverkningsanmälan</t>
        </is>
      </c>
      <c r="C103" t="inlineStr">
        <is>
          <t>Föryngringsavverkning</t>
        </is>
      </c>
      <c r="D103" s="1" t="n">
        <v>45117</v>
      </c>
      <c r="E103" s="1" t="n">
        <v>46231</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42452-2023</t>
        </is>
      </c>
      <c r="B104" t="inlineStr">
        <is>
          <t>avverkningsanmälan</t>
        </is>
      </c>
      <c r="C104" t="inlineStr">
        <is>
          <t>Föryngringsavverkning</t>
        </is>
      </c>
      <c r="D104" s="1" t="n">
        <v>45180</v>
      </c>
      <c r="E104" s="1" t="n">
        <v>46231</v>
      </c>
      <c r="F104" t="inlineStr">
        <is>
          <t>KALMAR LÄN</t>
        </is>
      </c>
      <c r="G104" t="inlineStr">
        <is>
          <t>KALMAR</t>
        </is>
      </c>
      <c r="I104" t="n">
        <v>0.5</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HYPERLINK("https://klasma.github.io/Logging_0880/artfynd/A 42452-2023 artfynd.xlsx", "A 42452-2023")</f>
        <v/>
      </c>
      <c r="X104">
        <f>HYPERLINK("https://klasma.github.io/Logging_0880/kartor/A 42452-2023 karta.png", "A 42452-2023")</f>
        <v/>
      </c>
      <c r="Y104">
        <f>HYPERLINK("https://klasma.github.io/Logging_0880/kartor_geotiff/A 42452-2023 georefererad karta.tif", "A 42452-2023")</f>
        <v/>
      </c>
      <c r="AA104">
        <f>HYPERLINK("https://klasma.github.io/Logging_0880/klagomål/A 42452-2023 FSC-klagomål.docx", "A 42452-2023")</f>
        <v/>
      </c>
      <c r="AB104">
        <f>HYPERLINK("https://klasma.github.io/Logging_0880/klagomålsmail/A 42452-2023 FSC-klagomål mail.docx", "A 42452-2023")</f>
        <v/>
      </c>
      <c r="AC104">
        <f>HYPERLINK("https://klasma.github.io/Logging_0880/tillsyn/A 42452-2023 tillsynsbegäran.docx", "A 42452-2023")</f>
        <v/>
      </c>
      <c r="AD104">
        <f>HYPERLINK("https://klasma.github.io/Logging_0880/tillsynsmail/A 42452-2023 tillsynsbegäran mail.docx", "A 42452-2023")</f>
        <v/>
      </c>
      <c r="AE104">
        <f>HYPERLINK("https://klasma.github.io/Logging_0880/fåglar/A 42452-2023 prioriterade fågelarter.docx", "A 42452-2023")</f>
        <v/>
      </c>
    </row>
    <row r="105" ht="15" customHeight="1">
      <c r="A105" t="inlineStr">
        <is>
          <t>A 25506-2026</t>
        </is>
      </c>
      <c r="B105" t="inlineStr">
        <is>
          <t>avverkningsanmälan</t>
        </is>
      </c>
      <c r="C105" t="inlineStr">
        <is>
          <t>Föryngringsavverkning</t>
        </is>
      </c>
      <c r="D105" s="1" t="n">
        <v>46177</v>
      </c>
      <c r="E105" s="1" t="n">
        <v>46231</v>
      </c>
      <c r="F105" t="inlineStr">
        <is>
          <t>KALMAR LÄN</t>
        </is>
      </c>
      <c r="G105" t="inlineStr">
        <is>
          <t>KALMAR</t>
        </is>
      </c>
      <c r="H105" t="inlineStr">
        <is>
          <t>Sveaskog</t>
        </is>
      </c>
      <c r="I105" t="n">
        <v>8.199999999999999</v>
      </c>
      <c r="J105" t="n">
        <v>1</v>
      </c>
      <c r="K105" t="n">
        <v>0</v>
      </c>
      <c r="L105" t="n">
        <v>0</v>
      </c>
      <c r="M105" t="n">
        <v>0</v>
      </c>
      <c r="N105" t="n">
        <v>0</v>
      </c>
      <c r="O105" t="n">
        <v>0</v>
      </c>
      <c r="P105" t="n">
        <v>0</v>
      </c>
      <c r="Q105" t="n">
        <v>0</v>
      </c>
      <c r="R105" t="n">
        <v>0</v>
      </c>
      <c r="S105" t="n">
        <v>1</v>
      </c>
      <c r="T105" t="n">
        <v>3</v>
      </c>
      <c r="U105" t="n">
        <v>0</v>
      </c>
      <c r="V105" s="2" t="inlineStr">
        <is>
          <t>Tjäder</t>
        </is>
      </c>
      <c r="W105">
        <f>HYPERLINK("https://klasma.github.io/Logging_0880/artfynd/A 25506-2026 artfynd.xlsx", "A 25506-2026")</f>
        <v/>
      </c>
      <c r="X105">
        <f>HYPERLINK("https://klasma.github.io/Logging_0880/kartor/A 25506-2026 karta.png", "A 25506-2026")</f>
        <v/>
      </c>
      <c r="Y105">
        <f>HYPERLINK("https://klasma.github.io/Logging_0880/kartor_geotiff/A 25506-2026 georefererad karta.tif", "A 25506-2026")</f>
        <v/>
      </c>
      <c r="AA105">
        <f>HYPERLINK("https://klasma.github.io/Logging_0880/klagomål/A 25506-2026 FSC-klagomål.docx", "A 25506-2026")</f>
        <v/>
      </c>
      <c r="AB105">
        <f>HYPERLINK("https://klasma.github.io/Logging_0880/klagomålsmail/A 25506-2026 FSC-klagomål mail.docx", "A 25506-2026")</f>
        <v/>
      </c>
      <c r="AC105">
        <f>HYPERLINK("https://klasma.github.io/Logging_0880/tillsyn/A 25506-2026 tillsynsbegäran.docx", "A 25506-2026")</f>
        <v/>
      </c>
      <c r="AD105">
        <f>HYPERLINK("https://klasma.github.io/Logging_0880/tillsynsmail/A 25506-2026 tillsynsbegäran mail.docx", "A 25506-2026")</f>
        <v/>
      </c>
      <c r="AE105">
        <f>HYPERLINK("https://klasma.github.io/Logging_0880/fåglar/A 25506-2026 prioriterade fågelarter.docx", "A 25506-2026")</f>
        <v/>
      </c>
    </row>
    <row r="106" ht="15" customHeight="1">
      <c r="A106" t="inlineStr">
        <is>
          <t>A 39745-2023</t>
        </is>
      </c>
      <c r="B106" t="inlineStr">
        <is>
          <t>avverkningsanmälan</t>
        </is>
      </c>
      <c r="C106" t="inlineStr">
        <is>
          <t>Föryngringsavverkning</t>
        </is>
      </c>
      <c r="D106" s="1" t="n">
        <v>45167</v>
      </c>
      <c r="E106" s="1" t="n">
        <v>46231</v>
      </c>
      <c r="F106" t="inlineStr">
        <is>
          <t>KALMAR LÄN</t>
        </is>
      </c>
      <c r="G106" t="inlineStr">
        <is>
          <t>KALMAR</t>
        </is>
      </c>
      <c r="I106" t="n">
        <v>1.3</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39745-2023 artfynd.xlsx", "A 39745-2023")</f>
        <v/>
      </c>
      <c r="X106">
        <f>HYPERLINK("https://klasma.github.io/Logging_0880/kartor/A 39745-2023 karta.png", "A 39745-2023")</f>
        <v/>
      </c>
      <c r="Y106">
        <f>HYPERLINK("https://klasma.github.io/Logging_0880/kartor_geotiff/A 39745-2023 georefererad karta.tif", "A 39745-2023")</f>
        <v/>
      </c>
      <c r="AA106">
        <f>HYPERLINK("https://klasma.github.io/Logging_0880/klagomål/A 39745-2023 FSC-klagomål.docx", "A 39745-2023")</f>
        <v/>
      </c>
      <c r="AB106">
        <f>HYPERLINK("https://klasma.github.io/Logging_0880/klagomålsmail/A 39745-2023 FSC-klagomål mail.docx", "A 39745-2023")</f>
        <v/>
      </c>
      <c r="AC106">
        <f>HYPERLINK("https://klasma.github.io/Logging_0880/tillsyn/A 39745-2023 tillsynsbegäran.docx", "A 39745-2023")</f>
        <v/>
      </c>
      <c r="AD106">
        <f>HYPERLINK("https://klasma.github.io/Logging_0880/tillsynsmail/A 39745-2023 tillsynsbegäran mail.docx", "A 39745-2023")</f>
        <v/>
      </c>
    </row>
    <row r="107" ht="15" customHeight="1">
      <c r="A107" t="inlineStr">
        <is>
          <t>A 27199-2026</t>
        </is>
      </c>
      <c r="B107" t="inlineStr">
        <is>
          <t>avverkningsanmälan</t>
        </is>
      </c>
      <c r="C107" t="inlineStr">
        <is>
          <t>Föryngringsavverkning</t>
        </is>
      </c>
      <c r="D107" s="1" t="n">
        <v>46188</v>
      </c>
      <c r="E107" s="1" t="n">
        <v>46231</v>
      </c>
      <c r="F107" t="inlineStr">
        <is>
          <t>KALMAR LÄN</t>
        </is>
      </c>
      <c r="G107" t="inlineStr">
        <is>
          <t>KALMAR</t>
        </is>
      </c>
      <c r="I107" t="n">
        <v>1.6</v>
      </c>
      <c r="J107" t="n">
        <v>0</v>
      </c>
      <c r="K107" t="n">
        <v>1</v>
      </c>
      <c r="L107" t="n">
        <v>0</v>
      </c>
      <c r="M107" t="n">
        <v>0</v>
      </c>
      <c r="N107" t="n">
        <v>0</v>
      </c>
      <c r="O107" t="n">
        <v>0</v>
      </c>
      <c r="P107" t="n">
        <v>0</v>
      </c>
      <c r="Q107" t="n">
        <v>0</v>
      </c>
      <c r="R107" t="n">
        <v>0</v>
      </c>
      <c r="S107" t="n">
        <v>1</v>
      </c>
      <c r="T107" t="n">
        <v>1</v>
      </c>
      <c r="U107" t="n">
        <v>0</v>
      </c>
      <c r="V107" s="2" t="inlineStr">
        <is>
          <t>Blåmossa</t>
        </is>
      </c>
      <c r="W107">
        <f>HYPERLINK("https://klasma.github.io/Logging_0880/artfynd/A 27199-2026 artfynd.xlsx", "A 27199-2026")</f>
        <v/>
      </c>
      <c r="X107">
        <f>HYPERLINK("https://klasma.github.io/Logging_0880/kartor/A 27199-2026 karta.png", "A 27199-2026")</f>
        <v/>
      </c>
      <c r="Y107">
        <f>HYPERLINK("https://klasma.github.io/Logging_0880/kartor_geotiff/A 27199-2026 georefererad karta.tif", "A 27199-2026")</f>
        <v/>
      </c>
      <c r="AA107">
        <f>HYPERLINK("https://klasma.github.io/Logging_0880/klagomål/A 27199-2026 FSC-klagomål.docx", "A 27199-2026")</f>
        <v/>
      </c>
      <c r="AB107">
        <f>HYPERLINK("https://klasma.github.io/Logging_0880/klagomålsmail/A 27199-2026 FSC-klagomål mail.docx", "A 27199-2026")</f>
        <v/>
      </c>
      <c r="AC107">
        <f>HYPERLINK("https://klasma.github.io/Logging_0880/tillsyn/A 27199-2026 tillsynsbegäran.docx", "A 27199-2026")</f>
        <v/>
      </c>
      <c r="AD107">
        <f>HYPERLINK("https://klasma.github.io/Logging_0880/tillsynsmail/A 27199-2026 tillsynsbegäran mail.docx", "A 27199-2026")</f>
        <v/>
      </c>
    </row>
    <row r="108" ht="15" customHeight="1">
      <c r="A108" t="inlineStr">
        <is>
          <t>A 13721-2023</t>
        </is>
      </c>
      <c r="B108" t="inlineStr">
        <is>
          <t>avverkningsanmälan</t>
        </is>
      </c>
      <c r="C108" t="inlineStr">
        <is>
          <t>Föryngringsavverkning</t>
        </is>
      </c>
      <c r="D108" s="1" t="n">
        <v>45007</v>
      </c>
      <c r="E108" s="1" t="n">
        <v>46231</v>
      </c>
      <c r="F108" t="inlineStr">
        <is>
          <t>KALMAR LÄN</t>
        </is>
      </c>
      <c r="G108" t="inlineStr">
        <is>
          <t>KALMAR</t>
        </is>
      </c>
      <c r="I108" t="n">
        <v>5.2</v>
      </c>
      <c r="J108" t="n">
        <v>0</v>
      </c>
      <c r="K108" t="n">
        <v>1</v>
      </c>
      <c r="L108" t="n">
        <v>0</v>
      </c>
      <c r="M108" t="n">
        <v>0</v>
      </c>
      <c r="N108" t="n">
        <v>0</v>
      </c>
      <c r="O108" t="n">
        <v>0</v>
      </c>
      <c r="P108" t="n">
        <v>0</v>
      </c>
      <c r="Q108" t="n">
        <v>0</v>
      </c>
      <c r="R108" t="n">
        <v>0</v>
      </c>
      <c r="S108" t="n">
        <v>1</v>
      </c>
      <c r="T108" t="n">
        <v>1</v>
      </c>
      <c r="U108" t="n">
        <v>1</v>
      </c>
      <c r="V108" s="2" t="inlineStr">
        <is>
          <t>Ögonpyrola</t>
        </is>
      </c>
      <c r="W108">
        <f>HYPERLINK("https://klasma.github.io/Logging_0880/artfynd/A 13721-2023 artfynd.xlsx", "A 13721-2023")</f>
        <v/>
      </c>
      <c r="X108">
        <f>HYPERLINK("https://klasma.github.io/Logging_0880/kartor/A 13721-2023 karta.png", "A 13721-2023")</f>
        <v/>
      </c>
      <c r="Y108">
        <f>HYPERLINK("https://klasma.github.io/Logging_0880/kartor_geotiff/A 13721-2023 georefererad karta.tif", "A 13721-2023")</f>
        <v/>
      </c>
      <c r="AA108">
        <f>HYPERLINK("https://klasma.github.io/Logging_0880/klagomål/A 13721-2023 FSC-klagomål.docx", "A 13721-2023")</f>
        <v/>
      </c>
      <c r="AB108">
        <f>HYPERLINK("https://klasma.github.io/Logging_0880/klagomålsmail/A 13721-2023 FSC-klagomål mail.docx", "A 13721-2023")</f>
        <v/>
      </c>
      <c r="AC108">
        <f>HYPERLINK("https://klasma.github.io/Logging_0880/tillsyn/A 13721-2023 tillsynsbegäran.docx", "A 13721-2023")</f>
        <v/>
      </c>
      <c r="AD108">
        <f>HYPERLINK("https://klasma.github.io/Logging_0880/tillsynsmail/A 13721-2023 tillsynsbegäran mail.docx", "A 13721-2023")</f>
        <v/>
      </c>
    </row>
    <row r="109" ht="15" customHeight="1">
      <c r="A109" t="inlineStr">
        <is>
          <t>A 750-2023</t>
        </is>
      </c>
      <c r="B109" t="inlineStr">
        <is>
          <t>avverkningsanmälan</t>
        </is>
      </c>
      <c r="C109" t="inlineStr">
        <is>
          <t>Föryngringsavverkning</t>
        </is>
      </c>
      <c r="D109" s="1" t="n">
        <v>44931</v>
      </c>
      <c r="E109" s="1" t="n">
        <v>46231</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3401-2023</t>
        </is>
      </c>
      <c r="B110" t="inlineStr">
        <is>
          <t>avverkningsanmälan</t>
        </is>
      </c>
      <c r="C110" t="inlineStr">
        <is>
          <t>Föryngringsavverkning</t>
        </is>
      </c>
      <c r="D110" s="1" t="n">
        <v>44949</v>
      </c>
      <c r="E110" s="1" t="n">
        <v>46231</v>
      </c>
      <c r="F110" t="inlineStr">
        <is>
          <t>KALMAR LÄN</t>
        </is>
      </c>
      <c r="G110" t="inlineStr">
        <is>
          <t>KALMAR</t>
        </is>
      </c>
      <c r="I110" t="n">
        <v>2.6</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HYPERLINK("https://klasma.github.io/Logging_0880/artfynd/A 3401-2023 artfynd.xlsx", "A 3401-2023")</f>
        <v/>
      </c>
      <c r="X110">
        <f>HYPERLINK("https://klasma.github.io/Logging_0880/kartor/A 3401-2023 karta.png", "A 3401-2023")</f>
        <v/>
      </c>
      <c r="Y110">
        <f>HYPERLINK("https://klasma.github.io/Logging_0880/kartor_geotiff/A 3401-2023 georefererad karta.tif", "A 3401-2023")</f>
        <v/>
      </c>
      <c r="AA110">
        <f>HYPERLINK("https://klasma.github.io/Logging_0880/klagomål/A 3401-2023 FSC-klagomål.docx", "A 3401-2023")</f>
        <v/>
      </c>
      <c r="AB110">
        <f>HYPERLINK("https://klasma.github.io/Logging_0880/klagomålsmail/A 3401-2023 FSC-klagomål mail.docx", "A 3401-2023")</f>
        <v/>
      </c>
      <c r="AC110">
        <f>HYPERLINK("https://klasma.github.io/Logging_0880/tillsyn/A 3401-2023 tillsynsbegäran.docx", "A 3401-2023")</f>
        <v/>
      </c>
      <c r="AD110">
        <f>HYPERLINK("https://klasma.github.io/Logging_0880/tillsynsmail/A 3401-2023 tillsynsbegäran mail.docx", "A 3401-2023")</f>
        <v/>
      </c>
    </row>
    <row r="111" ht="15" customHeight="1">
      <c r="A111" t="inlineStr">
        <is>
          <t>A 764-2023</t>
        </is>
      </c>
      <c r="B111" t="inlineStr">
        <is>
          <t>avverkningsanmälan</t>
        </is>
      </c>
      <c r="C111" t="inlineStr">
        <is>
          <t>Föryngringsavverkning</t>
        </is>
      </c>
      <c r="D111" s="1" t="n">
        <v>44931</v>
      </c>
      <c r="E111" s="1" t="n">
        <v>46231</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25732-2023</t>
        </is>
      </c>
      <c r="B112" t="inlineStr">
        <is>
          <t>avverkningsanmälan</t>
        </is>
      </c>
      <c r="C112" t="inlineStr">
        <is>
          <t>Föryngringsavverkning</t>
        </is>
      </c>
      <c r="D112" s="1" t="n">
        <v>45090</v>
      </c>
      <c r="E112" s="1" t="n">
        <v>46231</v>
      </c>
      <c r="F112" t="inlineStr">
        <is>
          <t>KALMAR LÄN</t>
        </is>
      </c>
      <c r="G112" t="inlineStr">
        <is>
          <t>KALMAR</t>
        </is>
      </c>
      <c r="I112" t="n">
        <v>3.2</v>
      </c>
      <c r="J112" t="n">
        <v>0</v>
      </c>
      <c r="K112" t="n">
        <v>0</v>
      </c>
      <c r="L112" t="n">
        <v>1</v>
      </c>
      <c r="M112" t="n">
        <v>0</v>
      </c>
      <c r="N112" t="n">
        <v>0</v>
      </c>
      <c r="O112" t="n">
        <v>0</v>
      </c>
      <c r="P112" t="n">
        <v>0</v>
      </c>
      <c r="Q112" t="n">
        <v>1</v>
      </c>
      <c r="R112" t="n">
        <v>0</v>
      </c>
      <c r="S112" t="n">
        <v>1</v>
      </c>
      <c r="T112" t="n">
        <v>1</v>
      </c>
      <c r="U112" t="n">
        <v>0</v>
      </c>
      <c r="V112" s="2" t="inlineStr">
        <is>
          <t>Spinnfingersvamp</t>
        </is>
      </c>
      <c r="W112">
        <f>HYPERLINK("https://klasma.github.io/Logging_0880/artfynd/A 25732-2023 artfynd.xlsx", "A 25732-2023")</f>
        <v/>
      </c>
      <c r="X112">
        <f>HYPERLINK("https://klasma.github.io/Logging_0880/kartor/A 25732-2023 karta.png", "A 25732-2023")</f>
        <v/>
      </c>
      <c r="Y112">
        <f>HYPERLINK("https://klasma.github.io/Logging_0880/kartor_geotiff/A 25732-2023 georefererad karta.tif", "A 25732-2023")</f>
        <v/>
      </c>
      <c r="AA112">
        <f>HYPERLINK("https://klasma.github.io/Logging_0880/klagomål/A 25732-2023 FSC-klagomål.docx", "A 25732-2023")</f>
        <v/>
      </c>
      <c r="AB112">
        <f>HYPERLINK("https://klasma.github.io/Logging_0880/klagomålsmail/A 25732-2023 FSC-klagomål mail.docx", "A 25732-2023")</f>
        <v/>
      </c>
      <c r="AC112">
        <f>HYPERLINK("https://klasma.github.io/Logging_0880/tillsyn/A 25732-2023 tillsynsbegäran.docx", "A 25732-2023")</f>
        <v/>
      </c>
      <c r="AD112">
        <f>HYPERLINK("https://klasma.github.io/Logging_0880/tillsynsmail/A 25732-2023 tillsynsbegäran mail.docx", "A 25732-2023")</f>
        <v/>
      </c>
    </row>
    <row r="113" ht="15" customHeight="1">
      <c r="A113" t="inlineStr">
        <is>
          <t>A 21522-2023</t>
        </is>
      </c>
      <c r="B113" t="inlineStr">
        <is>
          <t>avverkningsanmälan</t>
        </is>
      </c>
      <c r="C113" t="inlineStr">
        <is>
          <t>Föryngringsavverkning</t>
        </is>
      </c>
      <c r="D113" s="1" t="n">
        <v>45063</v>
      </c>
      <c r="E113" s="1" t="n">
        <v>46231</v>
      </c>
      <c r="F113" t="inlineStr">
        <is>
          <t>KALMAR LÄN</t>
        </is>
      </c>
      <c r="G113" t="inlineStr">
        <is>
          <t>KALMAR</t>
        </is>
      </c>
      <c r="H113" t="inlineStr">
        <is>
          <t>Sveaskog</t>
        </is>
      </c>
      <c r="I113" t="n">
        <v>5.2</v>
      </c>
      <c r="J113" t="n">
        <v>1</v>
      </c>
      <c r="K113" t="n">
        <v>0</v>
      </c>
      <c r="L113" t="n">
        <v>0</v>
      </c>
      <c r="M113" t="n">
        <v>0</v>
      </c>
      <c r="N113" t="n">
        <v>0</v>
      </c>
      <c r="O113" t="n">
        <v>0</v>
      </c>
      <c r="P113" t="n">
        <v>0</v>
      </c>
      <c r="Q113" t="n">
        <v>0</v>
      </c>
      <c r="R113" t="n">
        <v>0</v>
      </c>
      <c r="S113" t="n">
        <v>1</v>
      </c>
      <c r="T113" t="n">
        <v>1</v>
      </c>
      <c r="U113" t="n">
        <v>0</v>
      </c>
      <c r="V113" s="2" t="inlineStr">
        <is>
          <t>Havsörn</t>
        </is>
      </c>
      <c r="W113">
        <f>HYPERLINK("https://klasma.github.io/Logging_0880/artfynd/A 21522-2023 artfynd.xlsx", "A 21522-2023")</f>
        <v/>
      </c>
      <c r="X113">
        <f>HYPERLINK("https://klasma.github.io/Logging_0880/kartor/A 21522-2023 karta.png", "A 21522-2023")</f>
        <v/>
      </c>
      <c r="Y113">
        <f>HYPERLINK("https://klasma.github.io/Logging_0880/kartor_geotiff/A 21522-2023 georefererad karta.tif", "A 21522-2023")</f>
        <v/>
      </c>
      <c r="AA113">
        <f>HYPERLINK("https://klasma.github.io/Logging_0880/klagomål/A 21522-2023 FSC-klagomål.docx", "A 21522-2023")</f>
        <v/>
      </c>
      <c r="AB113">
        <f>HYPERLINK("https://klasma.github.io/Logging_0880/klagomålsmail/A 21522-2023 FSC-klagomål mail.docx", "A 21522-2023")</f>
        <v/>
      </c>
      <c r="AC113">
        <f>HYPERLINK("https://klasma.github.io/Logging_0880/tillsyn/A 21522-2023 tillsynsbegäran.docx", "A 21522-2023")</f>
        <v/>
      </c>
      <c r="AD113">
        <f>HYPERLINK("https://klasma.github.io/Logging_0880/tillsynsmail/A 21522-2023 tillsynsbegäran mail.docx", "A 21522-2023")</f>
        <v/>
      </c>
      <c r="AE113">
        <f>HYPERLINK("https://klasma.github.io/Logging_0880/fåglar/A 21522-2023 prioriterade fågelarter.docx", "A 21522-2023")</f>
        <v/>
      </c>
    </row>
    <row r="114" ht="15" customHeight="1">
      <c r="A114" t="inlineStr">
        <is>
          <t>A 37975-2024</t>
        </is>
      </c>
      <c r="B114" t="inlineStr">
        <is>
          <t>avverkningsanmälan</t>
        </is>
      </c>
      <c r="C114" t="inlineStr">
        <is>
          <t>Föryngringsavverkning</t>
        </is>
      </c>
      <c r="D114" s="1" t="n">
        <v>45544</v>
      </c>
      <c r="E114" s="1" t="n">
        <v>46231</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20610-2025</t>
        </is>
      </c>
      <c r="B115" t="inlineStr">
        <is>
          <t>avverkningsanmälan</t>
        </is>
      </c>
      <c r="C115" t="inlineStr">
        <is>
          <t>Föryngringsavverkning</t>
        </is>
      </c>
      <c r="D115" s="1" t="n">
        <v>45775</v>
      </c>
      <c r="E115" s="1" t="n">
        <v>46231</v>
      </c>
      <c r="F115" t="inlineStr">
        <is>
          <t>KALMAR LÄN</t>
        </is>
      </c>
      <c r="G115" t="inlineStr">
        <is>
          <t>KALMAR</t>
        </is>
      </c>
      <c r="I115" t="n">
        <v>0.9</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20610-2025 artfynd.xlsx", "A 20610-2025")</f>
        <v/>
      </c>
      <c r="X115">
        <f>HYPERLINK("https://klasma.github.io/Logging_0880/kartor/A 20610-2025 karta.png", "A 20610-2025")</f>
        <v/>
      </c>
      <c r="Y115">
        <f>HYPERLINK("https://klasma.github.io/Logging_0880/kartor_geotiff/A 20610-2025 georefererad karta.tif", "A 20610-2025")</f>
        <v/>
      </c>
      <c r="AA115">
        <f>HYPERLINK("https://klasma.github.io/Logging_0880/klagomål/A 20610-2025 FSC-klagomål.docx", "A 20610-2025")</f>
        <v/>
      </c>
      <c r="AB115">
        <f>HYPERLINK("https://klasma.github.io/Logging_0880/klagomålsmail/A 20610-2025 FSC-klagomål mail.docx", "A 20610-2025")</f>
        <v/>
      </c>
      <c r="AC115">
        <f>HYPERLINK("https://klasma.github.io/Logging_0880/tillsyn/A 20610-2025 tillsynsbegäran.docx", "A 20610-2025")</f>
        <v/>
      </c>
      <c r="AD115">
        <f>HYPERLINK("https://klasma.github.io/Logging_0880/tillsynsmail/A 20610-2025 tillsynsbegäran mail.docx", "A 20610-2025")</f>
        <v/>
      </c>
    </row>
    <row r="116" ht="15" customHeight="1">
      <c r="A116" t="inlineStr">
        <is>
          <t>A 21496-2025</t>
        </is>
      </c>
      <c r="B116" t="inlineStr">
        <is>
          <t>avverkningsanmälan</t>
        </is>
      </c>
      <c r="C116" t="inlineStr">
        <is>
          <t>Föryngringsavverkning</t>
        </is>
      </c>
      <c r="D116" s="1" t="n">
        <v>45782</v>
      </c>
      <c r="E116" s="1" t="n">
        <v>46231</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46231</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46231</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447-2022</t>
        </is>
      </c>
      <c r="B119" t="inlineStr">
        <is>
          <t>samrådsanmälan</t>
        </is>
      </c>
      <c r="C119" t="inlineStr">
        <is>
          <t>Askåterföring</t>
        </is>
      </c>
      <c r="D119" s="1" t="n">
        <v>44586</v>
      </c>
      <c r="E119" s="1" t="n">
        <v>46231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46231</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46231</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46231</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46231</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46231</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46231</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46231</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11216-2022</t>
        </is>
      </c>
      <c r="B127" t="inlineStr">
        <is>
          <t>avverkningsanmälan</t>
        </is>
      </c>
      <c r="C127" t="inlineStr">
        <is>
          <t>Föryngringsavverkning</t>
        </is>
      </c>
      <c r="D127" s="1" t="n">
        <v>44629</v>
      </c>
      <c r="E127" s="1" t="n">
        <v>46231</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46231</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46231</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50871-2021</t>
        </is>
      </c>
      <c r="B130" t="inlineStr">
        <is>
          <t>avverkningsanmälan</t>
        </is>
      </c>
      <c r="C130" t="inlineStr">
        <is>
          <t>Föryngringsavverkning</t>
        </is>
      </c>
      <c r="D130" s="1" t="n">
        <v>44460</v>
      </c>
      <c r="E130" s="1" t="n">
        <v>46231</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46231</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46231</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46231</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46231</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50105-2021</t>
        </is>
      </c>
      <c r="B135" t="inlineStr">
        <is>
          <t>avverkningsanmälan</t>
        </is>
      </c>
      <c r="C135" t="inlineStr">
        <is>
          <t>Föryngringsavverkning</t>
        </is>
      </c>
      <c r="D135" s="1" t="n">
        <v>44456</v>
      </c>
      <c r="E135" s="1" t="n">
        <v>46231</v>
      </c>
      <c r="F135" t="inlineStr">
        <is>
          <t>KALMAR LÄN</t>
        </is>
      </c>
      <c r="G135" t="inlineStr">
        <is>
          <t>KALMAR</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46231</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46231</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38455-2021</t>
        </is>
      </c>
      <c r="B138" t="inlineStr">
        <is>
          <t>avverkningsanmälan</t>
        </is>
      </c>
      <c r="C138" t="inlineStr">
        <is>
          <t>Föryngringsavverkning</t>
        </is>
      </c>
      <c r="D138" s="1" t="n">
        <v>44407</v>
      </c>
      <c r="E138" s="1" t="n">
        <v>46231</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61085-2021</t>
        </is>
      </c>
      <c r="B139" t="inlineStr">
        <is>
          <t>avverkningsanmälan</t>
        </is>
      </c>
      <c r="C139" t="inlineStr">
        <is>
          <t>Föryngringsavverkning</t>
        </is>
      </c>
      <c r="D139" s="1" t="n">
        <v>44498</v>
      </c>
      <c r="E139" s="1" t="n">
        <v>46231</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61086-2021</t>
        </is>
      </c>
      <c r="B140" t="inlineStr">
        <is>
          <t>avverkningsanmälan</t>
        </is>
      </c>
      <c r="C140" t="inlineStr">
        <is>
          <t>Föryngringsavverkning</t>
        </is>
      </c>
      <c r="D140" s="1" t="n">
        <v>44498</v>
      </c>
      <c r="E140" s="1" t="n">
        <v>46231</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46231</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46231</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33830-2022</t>
        </is>
      </c>
      <c r="B143" t="inlineStr">
        <is>
          <t>avverkningsanmälan</t>
        </is>
      </c>
      <c r="C143" t="inlineStr">
        <is>
          <t>Föryngringsavverkning</t>
        </is>
      </c>
      <c r="D143" s="1" t="n">
        <v>44790</v>
      </c>
      <c r="E143" s="1" t="n">
        <v>46231</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40364-2022</t>
        </is>
      </c>
      <c r="B144" t="inlineStr">
        <is>
          <t>avverkningsanmälan</t>
        </is>
      </c>
      <c r="C144" t="inlineStr">
        <is>
          <t>Föryngringsavverkning</t>
        </is>
      </c>
      <c r="D144" s="1" t="n">
        <v>44823</v>
      </c>
      <c r="E144" s="1" t="n">
        <v>46231</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46231</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46231</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46231</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46231</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46231</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46231</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46231</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46231</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47080-2022</t>
        </is>
      </c>
      <c r="B153" t="inlineStr">
        <is>
          <t>avverkningsanmälan</t>
        </is>
      </c>
      <c r="C153" t="inlineStr">
        <is>
          <t>Föryngringsavverkning</t>
        </is>
      </c>
      <c r="D153" s="1" t="n">
        <v>44852</v>
      </c>
      <c r="E153" s="1" t="n">
        <v>46231</v>
      </c>
      <c r="F153" t="inlineStr">
        <is>
          <t>KALMAR LÄN</t>
        </is>
      </c>
      <c r="G153" t="inlineStr">
        <is>
          <t>KALMAR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48378-2022</t>
        </is>
      </c>
      <c r="B154" t="inlineStr">
        <is>
          <t>avverkningsanmälan</t>
        </is>
      </c>
      <c r="C154" t="inlineStr">
        <is>
          <t>Föryngringsavverkning</t>
        </is>
      </c>
      <c r="D154" s="1" t="n">
        <v>44858</v>
      </c>
      <c r="E154" s="1" t="n">
        <v>46231</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48470-2022</t>
        </is>
      </c>
      <c r="B155" t="inlineStr">
        <is>
          <t>avverkningsanmälan</t>
        </is>
      </c>
      <c r="C155" t="inlineStr">
        <is>
          <t>Föryngringsavverkning</t>
        </is>
      </c>
      <c r="D155" s="1" t="n">
        <v>44858</v>
      </c>
      <c r="E155" s="1" t="n">
        <v>46231</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46231</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43260-2021</t>
        </is>
      </c>
      <c r="B157" t="inlineStr">
        <is>
          <t>avverkningsanmälan</t>
        </is>
      </c>
      <c r="C157" t="inlineStr">
        <is>
          <t>Föryngringsavverkning</t>
        </is>
      </c>
      <c r="D157" s="1" t="n">
        <v>44432</v>
      </c>
      <c r="E157" s="1" t="n">
        <v>46231</v>
      </c>
      <c r="F157" t="inlineStr">
        <is>
          <t>KALMAR LÄN</t>
        </is>
      </c>
      <c r="G157" t="inlineStr">
        <is>
          <t>KALMAR</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9087-2022</t>
        </is>
      </c>
      <c r="B158" t="inlineStr">
        <is>
          <t>avverkningsanmälan</t>
        </is>
      </c>
      <c r="C158" t="inlineStr">
        <is>
          <t>Föryngringsavverkning</t>
        </is>
      </c>
      <c r="D158" s="1" t="n">
        <v>44615</v>
      </c>
      <c r="E158" s="1" t="n">
        <v>46231</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46231</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46231</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46231</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46231</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46231</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46231</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46231</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46231</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46231</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46231</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43619-2021</t>
        </is>
      </c>
      <c r="B169" t="inlineStr">
        <is>
          <t>avverkningsanmälan</t>
        </is>
      </c>
      <c r="C169" t="inlineStr">
        <is>
          <t>Föryngringsavverkning</t>
        </is>
      </c>
      <c r="D169" s="1" t="n">
        <v>44433</v>
      </c>
      <c r="E169" s="1" t="n">
        <v>46231</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32921-2022</t>
        </is>
      </c>
      <c r="B170" t="inlineStr">
        <is>
          <t>avverkningsanmälan</t>
        </is>
      </c>
      <c r="C170" t="inlineStr">
        <is>
          <t>Föryngringsavverkning</t>
        </is>
      </c>
      <c r="D170" s="1" t="n">
        <v>44784</v>
      </c>
      <c r="E170" s="1" t="n">
        <v>46231</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46231</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46231</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46231</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46231</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46231</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46231</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46231</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46231</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46231</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46231</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46231</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6642-2024</t>
        </is>
      </c>
      <c r="B182" t="inlineStr">
        <is>
          <t>avverkningsanmälan</t>
        </is>
      </c>
      <c r="C182" t="inlineStr">
        <is>
          <t>Föryngringsavverkning</t>
        </is>
      </c>
      <c r="D182" s="1" t="n">
        <v>45341</v>
      </c>
      <c r="E182" s="1" t="n">
        <v>46231</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6643-2024</t>
        </is>
      </c>
      <c r="B183" t="inlineStr">
        <is>
          <t>avverkningsanmälan</t>
        </is>
      </c>
      <c r="C183" t="inlineStr">
        <is>
          <t>Föryngringsavverkning</t>
        </is>
      </c>
      <c r="D183" s="1" t="n">
        <v>45341</v>
      </c>
      <c r="E183" s="1" t="n">
        <v>46231</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18847-2023</t>
        </is>
      </c>
      <c r="B184" t="inlineStr">
        <is>
          <t>avverkningsanmälan</t>
        </is>
      </c>
      <c r="C184" t="inlineStr">
        <is>
          <t>Föryngringsavverkning</t>
        </is>
      </c>
      <c r="D184" s="1" t="n">
        <v>45044</v>
      </c>
      <c r="E184" s="1" t="n">
        <v>46231</v>
      </c>
      <c r="F184" t="inlineStr">
        <is>
          <t>KALMAR LÄN</t>
        </is>
      </c>
      <c r="G184" t="inlineStr">
        <is>
          <t>KALMAR</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4182-2024</t>
        </is>
      </c>
      <c r="B185" t="inlineStr">
        <is>
          <t>avverkningsanmälan</t>
        </is>
      </c>
      <c r="C185" t="inlineStr">
        <is>
          <t>Föryngringsavverkning</t>
        </is>
      </c>
      <c r="D185" s="1" t="n">
        <v>45324</v>
      </c>
      <c r="E185" s="1" t="n">
        <v>46231</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9649-2025</t>
        </is>
      </c>
      <c r="B186" t="inlineStr">
        <is>
          <t>avverkningsanmälan</t>
        </is>
      </c>
      <c r="C186" t="inlineStr">
        <is>
          <t>Föryngringsavverkning</t>
        </is>
      </c>
      <c r="D186" s="1" t="n">
        <v>45716</v>
      </c>
      <c r="E186" s="1" t="n">
        <v>46231</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62281-2023</t>
        </is>
      </c>
      <c r="B187" t="inlineStr">
        <is>
          <t>avverkningsanmälan</t>
        </is>
      </c>
      <c r="C187" t="inlineStr">
        <is>
          <t>Föryngringsavverkning</t>
        </is>
      </c>
      <c r="D187" s="1" t="n">
        <v>45267</v>
      </c>
      <c r="E187" s="1" t="n">
        <v>46231</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50055-2023</t>
        </is>
      </c>
      <c r="B188" t="inlineStr">
        <is>
          <t>avverkningsanmälan</t>
        </is>
      </c>
      <c r="C188" t="inlineStr">
        <is>
          <t>Föryngringsavverkning</t>
        </is>
      </c>
      <c r="D188" s="1" t="n">
        <v>45215</v>
      </c>
      <c r="E188" s="1" t="n">
        <v>46231</v>
      </c>
      <c r="F188" t="inlineStr">
        <is>
          <t>KALMAR LÄN</t>
        </is>
      </c>
      <c r="G188" t="inlineStr">
        <is>
          <t>KALMAR</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5575-2024</t>
        </is>
      </c>
      <c r="B189" t="inlineStr">
        <is>
          <t>avverkningsanmälan</t>
        </is>
      </c>
      <c r="C189" t="inlineStr">
        <is>
          <t>Föryngringsavverkning</t>
        </is>
      </c>
      <c r="D189" s="1" t="n">
        <v>45334</v>
      </c>
      <c r="E189" s="1" t="n">
        <v>46231</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48933-2023</t>
        </is>
      </c>
      <c r="B190" t="inlineStr">
        <is>
          <t>avverkningsanmälan</t>
        </is>
      </c>
      <c r="C190" t="inlineStr">
        <is>
          <t>Föryngringsavverkning</t>
        </is>
      </c>
      <c r="D190" s="1" t="n">
        <v>45209</v>
      </c>
      <c r="E190" s="1" t="n">
        <v>46231</v>
      </c>
      <c r="F190" t="inlineStr">
        <is>
          <t>KALMAR LÄN</t>
        </is>
      </c>
      <c r="G190" t="inlineStr">
        <is>
          <t>KALMAR</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48943-2023</t>
        </is>
      </c>
      <c r="B191" t="inlineStr">
        <is>
          <t>avverkningsanmälan</t>
        </is>
      </c>
      <c r="C191" t="inlineStr">
        <is>
          <t>Föryngringsavverkning</t>
        </is>
      </c>
      <c r="D191" s="1" t="n">
        <v>45209</v>
      </c>
      <c r="E191" s="1" t="n">
        <v>46231</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32499-2022</t>
        </is>
      </c>
      <c r="B192" t="inlineStr">
        <is>
          <t>avverkningsanmälan</t>
        </is>
      </c>
      <c r="C192" t="inlineStr">
        <is>
          <t>Föryngringsavverkning</t>
        </is>
      </c>
      <c r="D192" s="1" t="n">
        <v>44782</v>
      </c>
      <c r="E192" s="1" t="n">
        <v>46231</v>
      </c>
      <c r="F192" t="inlineStr">
        <is>
          <t>KALMAR LÄN</t>
        </is>
      </c>
      <c r="G192" t="inlineStr">
        <is>
          <t>KALMAR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26087-2023</t>
        </is>
      </c>
      <c r="B193" t="inlineStr">
        <is>
          <t>avverkningsanmälan</t>
        </is>
      </c>
      <c r="C193" t="inlineStr">
        <is>
          <t>Föryngringsavverkning</t>
        </is>
      </c>
      <c r="D193" s="1" t="n">
        <v>45091</v>
      </c>
      <c r="E193" s="1" t="n">
        <v>46231</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27471-2023</t>
        </is>
      </c>
      <c r="B194" t="inlineStr">
        <is>
          <t>avverkningsanmälan</t>
        </is>
      </c>
      <c r="C194" t="inlineStr">
        <is>
          <t>Föryngringsavverkning</t>
        </is>
      </c>
      <c r="D194" s="1" t="n">
        <v>45097</v>
      </c>
      <c r="E194" s="1" t="n">
        <v>46231</v>
      </c>
      <c r="F194" t="inlineStr">
        <is>
          <t>KALMAR LÄN</t>
        </is>
      </c>
      <c r="G194" t="inlineStr">
        <is>
          <t>KALMAR</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56510-2023</t>
        </is>
      </c>
      <c r="B195" t="inlineStr">
        <is>
          <t>avverkningsanmälan</t>
        </is>
      </c>
      <c r="C195" t="inlineStr">
        <is>
          <t>Föryngringsavverkning</t>
        </is>
      </c>
      <c r="D195" s="1" t="n">
        <v>45243</v>
      </c>
      <c r="E195" s="1" t="n">
        <v>46231</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12265-2024</t>
        </is>
      </c>
      <c r="B196" t="inlineStr">
        <is>
          <t>avverkningsanmälan</t>
        </is>
      </c>
      <c r="C196" t="inlineStr">
        <is>
          <t>Föryngringsavverkning</t>
        </is>
      </c>
      <c r="D196" s="1" t="n">
        <v>45378</v>
      </c>
      <c r="E196" s="1" t="n">
        <v>46231</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58357-2023</t>
        </is>
      </c>
      <c r="B197" t="inlineStr">
        <is>
          <t>avverkningsanmälan</t>
        </is>
      </c>
      <c r="C197" t="inlineStr">
        <is>
          <t>Föryngringsavverkning</t>
        </is>
      </c>
      <c r="D197" s="1" t="n">
        <v>45250</v>
      </c>
      <c r="E197" s="1" t="n">
        <v>46231</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5903-2023</t>
        </is>
      </c>
      <c r="B198" t="inlineStr">
        <is>
          <t>avverkningsanmälan</t>
        </is>
      </c>
      <c r="C198" t="inlineStr">
        <is>
          <t>Föryngringsavverkning</t>
        </is>
      </c>
      <c r="D198" s="1" t="n">
        <v>44963</v>
      </c>
      <c r="E198" s="1" t="n">
        <v>46231</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13414-2024</t>
        </is>
      </c>
      <c r="B199" t="inlineStr">
        <is>
          <t>avverkningsanmälan</t>
        </is>
      </c>
      <c r="C199" t="inlineStr">
        <is>
          <t>Föryngringsavverkning</t>
        </is>
      </c>
      <c r="D199" s="1" t="n">
        <v>45387</v>
      </c>
      <c r="E199" s="1" t="n">
        <v>46231</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13416-2024</t>
        </is>
      </c>
      <c r="B200" t="inlineStr">
        <is>
          <t>avverkningsanmälan</t>
        </is>
      </c>
      <c r="C200" t="inlineStr">
        <is>
          <t>Föryngringsavverkning</t>
        </is>
      </c>
      <c r="D200" s="1" t="n">
        <v>45387</v>
      </c>
      <c r="E200" s="1" t="n">
        <v>46231</v>
      </c>
      <c r="F200" t="inlineStr">
        <is>
          <t>KALMAR LÄN</t>
        </is>
      </c>
      <c r="G200" t="inlineStr">
        <is>
          <t>KALMAR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46231</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27600-2023</t>
        </is>
      </c>
      <c r="B202" t="inlineStr">
        <is>
          <t>avverkningsanmälan</t>
        </is>
      </c>
      <c r="C202" t="inlineStr">
        <is>
          <t>Föryngringsavverkning</t>
        </is>
      </c>
      <c r="D202" s="1" t="n">
        <v>45097</v>
      </c>
      <c r="E202" s="1" t="n">
        <v>46231</v>
      </c>
      <c r="F202" t="inlineStr">
        <is>
          <t>KALMAR LÄN</t>
        </is>
      </c>
      <c r="G202" t="inlineStr">
        <is>
          <t>KALMAR</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60851-2022</t>
        </is>
      </c>
      <c r="B203" t="inlineStr">
        <is>
          <t>avverkningsanmälan</t>
        </is>
      </c>
      <c r="C203" t="inlineStr">
        <is>
          <t>Föryngringsavverkning</t>
        </is>
      </c>
      <c r="D203" s="1" t="n">
        <v>44914</v>
      </c>
      <c r="E203" s="1" t="n">
        <v>46231</v>
      </c>
      <c r="F203" t="inlineStr">
        <is>
          <t>KALMAR LÄN</t>
        </is>
      </c>
      <c r="G203" t="inlineStr">
        <is>
          <t>KALMAR</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1598-2024</t>
        </is>
      </c>
      <c r="B204" t="inlineStr">
        <is>
          <t>avverkningsanmälan</t>
        </is>
      </c>
      <c r="C204" t="inlineStr">
        <is>
          <t>Avverkning för annat ändamål</t>
        </is>
      </c>
      <c r="D204" s="1" t="n">
        <v>45306</v>
      </c>
      <c r="E204" s="1" t="n">
        <v>46231</v>
      </c>
      <c r="F204" t="inlineStr">
        <is>
          <t>KALMAR LÄN</t>
        </is>
      </c>
      <c r="G204" t="inlineStr">
        <is>
          <t>KALMAR</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27109-2023</t>
        </is>
      </c>
      <c r="B205" t="inlineStr">
        <is>
          <t>avverkningsanmälan</t>
        </is>
      </c>
      <c r="C205" t="inlineStr">
        <is>
          <t>Föryngringsavverkning</t>
        </is>
      </c>
      <c r="D205" s="1" t="n">
        <v>45096</v>
      </c>
      <c r="E205" s="1" t="n">
        <v>46231</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34736-2023</t>
        </is>
      </c>
      <c r="B206" t="inlineStr">
        <is>
          <t>avverkningsanmälan</t>
        </is>
      </c>
      <c r="C206" t="inlineStr">
        <is>
          <t>Föryngringsavverkning</t>
        </is>
      </c>
      <c r="D206" s="1" t="n">
        <v>45141</v>
      </c>
      <c r="E206" s="1" t="n">
        <v>46231</v>
      </c>
      <c r="F206" t="inlineStr">
        <is>
          <t>KALMAR LÄN</t>
        </is>
      </c>
      <c r="G206" t="inlineStr">
        <is>
          <t>KALMAR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38180-2021</t>
        </is>
      </c>
      <c r="B207" t="inlineStr">
        <is>
          <t>avverkningsanmälan</t>
        </is>
      </c>
      <c r="C207" t="inlineStr">
        <is>
          <t>Föryngringsavverkning</t>
        </is>
      </c>
      <c r="D207" s="1" t="n">
        <v>44405</v>
      </c>
      <c r="E207" s="1" t="n">
        <v>46231</v>
      </c>
      <c r="F207" t="inlineStr">
        <is>
          <t>KALMAR LÄN</t>
        </is>
      </c>
      <c r="G207" t="inlineStr">
        <is>
          <t>KALMAR</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59455-2023</t>
        </is>
      </c>
      <c r="B208" t="inlineStr">
        <is>
          <t>avverkningsanmälan</t>
        </is>
      </c>
      <c r="C208" t="inlineStr">
        <is>
          <t>Föryngringsavverkning</t>
        </is>
      </c>
      <c r="D208" s="1" t="n">
        <v>45254</v>
      </c>
      <c r="E208" s="1" t="n">
        <v>46231</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27947-2024</t>
        </is>
      </c>
      <c r="B209" t="inlineStr">
        <is>
          <t>avverkningsanmälan</t>
        </is>
      </c>
      <c r="C209" t="inlineStr">
        <is>
          <t>Föryngringsavverkning</t>
        </is>
      </c>
      <c r="D209" s="1" t="n">
        <v>45476</v>
      </c>
      <c r="E209" s="1" t="n">
        <v>46231</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217-2026</t>
        </is>
      </c>
      <c r="B210" t="inlineStr">
        <is>
          <t>avverkningsanmälan</t>
        </is>
      </c>
      <c r="C210" t="inlineStr">
        <is>
          <t>Föryngringsavverkning</t>
        </is>
      </c>
      <c r="D210" s="1" t="n">
        <v>46026</v>
      </c>
      <c r="E210" s="1" t="n">
        <v>46231</v>
      </c>
      <c r="F210" t="inlineStr">
        <is>
          <t>KALMAR LÄN</t>
        </is>
      </c>
      <c r="G210" t="inlineStr">
        <is>
          <t>KALMAR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10345-2025</t>
        </is>
      </c>
      <c r="B211" t="inlineStr">
        <is>
          <t>avverkningsanmälan</t>
        </is>
      </c>
      <c r="C211" t="inlineStr">
        <is>
          <t>Föryngringsavverkning</t>
        </is>
      </c>
      <c r="D211" s="1" t="n">
        <v>45720</v>
      </c>
      <c r="E211" s="1" t="n">
        <v>46231</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63279-2023</t>
        </is>
      </c>
      <c r="B212" t="inlineStr">
        <is>
          <t>avverkningsanmälan</t>
        </is>
      </c>
      <c r="C212" t="inlineStr">
        <is>
          <t>Föryngringsavverkning</t>
        </is>
      </c>
      <c r="D212" s="1" t="n">
        <v>45273</v>
      </c>
      <c r="E212" s="1" t="n">
        <v>46231</v>
      </c>
      <c r="F212" t="inlineStr">
        <is>
          <t>KALMAR LÄN</t>
        </is>
      </c>
      <c r="G212" t="inlineStr">
        <is>
          <t>KALMAR</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57654-2023</t>
        </is>
      </c>
      <c r="B213" t="inlineStr">
        <is>
          <t>avverkningsanmälan</t>
        </is>
      </c>
      <c r="C213" t="inlineStr">
        <is>
          <t>Föryngringsavverkning</t>
        </is>
      </c>
      <c r="D213" s="1" t="n">
        <v>45246</v>
      </c>
      <c r="E213" s="1" t="n">
        <v>46231</v>
      </c>
      <c r="F213" t="inlineStr">
        <is>
          <t>KALMAR LÄN</t>
        </is>
      </c>
      <c r="G213" t="inlineStr">
        <is>
          <t>KALMAR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57658-2023</t>
        </is>
      </c>
      <c r="B214" t="inlineStr">
        <is>
          <t>avverkningsanmälan</t>
        </is>
      </c>
      <c r="C214" t="inlineStr">
        <is>
          <t>Föryngringsavverkning</t>
        </is>
      </c>
      <c r="D214" s="1" t="n">
        <v>45246</v>
      </c>
      <c r="E214" s="1" t="n">
        <v>46231</v>
      </c>
      <c r="F214" t="inlineStr">
        <is>
          <t>KALMAR LÄN</t>
        </is>
      </c>
      <c r="G214" t="inlineStr">
        <is>
          <t>KALMAR</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57216-2022</t>
        </is>
      </c>
      <c r="B215" t="inlineStr">
        <is>
          <t>avverkningsanmälan</t>
        </is>
      </c>
      <c r="C215" t="inlineStr">
        <is>
          <t>Föryngringsavverkning</t>
        </is>
      </c>
      <c r="D215" s="1" t="n">
        <v>44895</v>
      </c>
      <c r="E215" s="1" t="n">
        <v>46231</v>
      </c>
      <c r="F215" t="inlineStr">
        <is>
          <t>KALMAR LÄN</t>
        </is>
      </c>
      <c r="G215" t="inlineStr">
        <is>
          <t>KALMAR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28-2022</t>
        </is>
      </c>
      <c r="B216" t="inlineStr">
        <is>
          <t>avverkningsanmälan</t>
        </is>
      </c>
      <c r="C216" t="inlineStr">
        <is>
          <t>Föryngringsavverkning</t>
        </is>
      </c>
      <c r="D216" s="1" t="n">
        <v>44564</v>
      </c>
      <c r="E216" s="1" t="n">
        <v>46231</v>
      </c>
      <c r="F216" t="inlineStr">
        <is>
          <t>KALMAR LÄN</t>
        </is>
      </c>
      <c r="G216" t="inlineStr">
        <is>
          <t>KALMAR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26322-2025</t>
        </is>
      </c>
      <c r="B217" t="inlineStr">
        <is>
          <t>avverkningsanmälan</t>
        </is>
      </c>
      <c r="C217" t="inlineStr">
        <is>
          <t>Föryngringsavverkning</t>
        </is>
      </c>
      <c r="D217" s="1" t="n">
        <v>45805</v>
      </c>
      <c r="E217" s="1" t="n">
        <v>46231</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10731-2023</t>
        </is>
      </c>
      <c r="B218" t="inlineStr">
        <is>
          <t>avverkningsanmälan</t>
        </is>
      </c>
      <c r="C218" t="inlineStr">
        <is>
          <t>Föryngringsavverkning</t>
        </is>
      </c>
      <c r="D218" s="1" t="n">
        <v>44988</v>
      </c>
      <c r="E218" s="1" t="n">
        <v>46231</v>
      </c>
      <c r="F218" t="inlineStr">
        <is>
          <t>KALMAR LÄN</t>
        </is>
      </c>
      <c r="G218" t="inlineStr">
        <is>
          <t>KALMAR</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2185-2026</t>
        </is>
      </c>
      <c r="B219" t="inlineStr">
        <is>
          <t>avverkningsanmälan</t>
        </is>
      </c>
      <c r="C219" t="inlineStr">
        <is>
          <t>Föryngringsavverkning</t>
        </is>
      </c>
      <c r="D219" s="1" t="n">
        <v>46036</v>
      </c>
      <c r="E219" s="1" t="n">
        <v>46231</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49830-2022</t>
        </is>
      </c>
      <c r="B220" t="inlineStr">
        <is>
          <t>avverkningsanmälan</t>
        </is>
      </c>
      <c r="C220" t="inlineStr">
        <is>
          <t>Föryngringsavverkning</t>
        </is>
      </c>
      <c r="D220" s="1" t="n">
        <v>44862</v>
      </c>
      <c r="E220" s="1" t="n">
        <v>46231</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27250-2025</t>
        </is>
      </c>
      <c r="B221" t="inlineStr">
        <is>
          <t>avverkningsanmälan</t>
        </is>
      </c>
      <c r="C221" t="inlineStr">
        <is>
          <t>Föryngringsavverkning</t>
        </is>
      </c>
      <c r="D221" s="1" t="n">
        <v>45812</v>
      </c>
      <c r="E221" s="1" t="n">
        <v>46231</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57489-2024</t>
        </is>
      </c>
      <c r="B222" t="inlineStr">
        <is>
          <t>avverkningsanmälan</t>
        </is>
      </c>
      <c r="C222" t="inlineStr">
        <is>
          <t>Föryngringsavverkning</t>
        </is>
      </c>
      <c r="D222" s="1" t="n">
        <v>45630</v>
      </c>
      <c r="E222" s="1" t="n">
        <v>46231</v>
      </c>
      <c r="F222" t="inlineStr">
        <is>
          <t>KALMAR LÄN</t>
        </is>
      </c>
      <c r="G222" t="inlineStr">
        <is>
          <t>KALMAR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36631-2023</t>
        </is>
      </c>
      <c r="B223" t="inlineStr">
        <is>
          <t>avverkningsanmälan</t>
        </is>
      </c>
      <c r="C223" t="inlineStr">
        <is>
          <t>Föryngringsavverkning</t>
        </is>
      </c>
      <c r="D223" s="1" t="n">
        <v>45153</v>
      </c>
      <c r="E223" s="1" t="n">
        <v>46231</v>
      </c>
      <c r="F223" t="inlineStr">
        <is>
          <t>KALMAR LÄN</t>
        </is>
      </c>
      <c r="G223" t="inlineStr">
        <is>
          <t>KALMAR</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19541-2023</t>
        </is>
      </c>
      <c r="B224" t="inlineStr">
        <is>
          <t>avverkningsanmälan</t>
        </is>
      </c>
      <c r="C224" t="inlineStr">
        <is>
          <t>Föryngringsavverkning</t>
        </is>
      </c>
      <c r="D224" s="1" t="n">
        <v>45050</v>
      </c>
      <c r="E224" s="1" t="n">
        <v>46231</v>
      </c>
      <c r="F224" t="inlineStr">
        <is>
          <t>KALMAR LÄN</t>
        </is>
      </c>
      <c r="G224" t="inlineStr">
        <is>
          <t>KALMAR</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59958-2022</t>
        </is>
      </c>
      <c r="B225" t="inlineStr">
        <is>
          <t>avverkningsanmälan</t>
        </is>
      </c>
      <c r="C225" t="inlineStr">
        <is>
          <t>Föryngringsavverkning</t>
        </is>
      </c>
      <c r="D225" s="1" t="n">
        <v>44909</v>
      </c>
      <c r="E225" s="1" t="n">
        <v>46231</v>
      </c>
      <c r="F225" t="inlineStr">
        <is>
          <t>KALMAR LÄN</t>
        </is>
      </c>
      <c r="G225" t="inlineStr">
        <is>
          <t>KALMAR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4635-2026</t>
        </is>
      </c>
      <c r="B226" t="inlineStr">
        <is>
          <t>avverkningsanmälan</t>
        </is>
      </c>
      <c r="C226" t="inlineStr">
        <is>
          <t>Föryngringsavverkning</t>
        </is>
      </c>
      <c r="D226" s="1" t="n">
        <v>46048</v>
      </c>
      <c r="E226" s="1" t="n">
        <v>46231</v>
      </c>
      <c r="F226" t="inlineStr">
        <is>
          <t>KALMAR LÄN</t>
        </is>
      </c>
      <c r="G226" t="inlineStr">
        <is>
          <t>KALMAR</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5248-2026</t>
        </is>
      </c>
      <c r="B227" t="inlineStr">
        <is>
          <t>avverkningsanmälan</t>
        </is>
      </c>
      <c r="C227" t="inlineStr">
        <is>
          <t>Föryngringsavverkning</t>
        </is>
      </c>
      <c r="D227" s="1" t="n">
        <v>46049</v>
      </c>
      <c r="E227" s="1" t="n">
        <v>46231</v>
      </c>
      <c r="F227" t="inlineStr">
        <is>
          <t>KALMAR LÄN</t>
        </is>
      </c>
      <c r="G227" t="inlineStr">
        <is>
          <t>KALMAR</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62455-2022</t>
        </is>
      </c>
      <c r="B228" t="inlineStr">
        <is>
          <t>avverkningsanmälan</t>
        </is>
      </c>
      <c r="C228" t="inlineStr">
        <is>
          <t>Föryngringsavverkning</t>
        </is>
      </c>
      <c r="D228" s="1" t="n">
        <v>44924</v>
      </c>
      <c r="E228" s="1" t="n">
        <v>46231</v>
      </c>
      <c r="F228" t="inlineStr">
        <is>
          <t>KALMAR LÄN</t>
        </is>
      </c>
      <c r="G228" t="inlineStr">
        <is>
          <t>KALMAR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29226-2025</t>
        </is>
      </c>
      <c r="B229" t="inlineStr">
        <is>
          <t>avverkningsanmälan</t>
        </is>
      </c>
      <c r="C229" t="inlineStr">
        <is>
          <t>Föryngringsavverkning</t>
        </is>
      </c>
      <c r="D229" s="1" t="n">
        <v>45824</v>
      </c>
      <c r="E229" s="1" t="n">
        <v>46231</v>
      </c>
      <c r="F229" t="inlineStr">
        <is>
          <t>KALMAR LÄN</t>
        </is>
      </c>
      <c r="G229" t="inlineStr">
        <is>
          <t>KALMAR</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39093-2024</t>
        </is>
      </c>
      <c r="B230" t="inlineStr">
        <is>
          <t>avverkningsanmälan</t>
        </is>
      </c>
      <c r="C230" t="inlineStr">
        <is>
          <t>Föryngringsavverkning</t>
        </is>
      </c>
      <c r="D230" s="1" t="n">
        <v>45548</v>
      </c>
      <c r="E230" s="1" t="n">
        <v>46231</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39363-2024</t>
        </is>
      </c>
      <c r="B231" t="inlineStr">
        <is>
          <t>avverkningsanmälan</t>
        </is>
      </c>
      <c r="C231" t="inlineStr">
        <is>
          <t>Föryngringsavverkning</t>
        </is>
      </c>
      <c r="D231" s="1" t="n">
        <v>45551</v>
      </c>
      <c r="E231" s="1" t="n">
        <v>46231</v>
      </c>
      <c r="F231" t="inlineStr">
        <is>
          <t>KALMAR LÄN</t>
        </is>
      </c>
      <c r="G231" t="inlineStr">
        <is>
          <t>KALMAR</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6142-2026</t>
        </is>
      </c>
      <c r="B232" t="inlineStr">
        <is>
          <t>avverkningsanmälan</t>
        </is>
      </c>
      <c r="C232" t="inlineStr">
        <is>
          <t>Föryngringsavverkning</t>
        </is>
      </c>
      <c r="D232" s="1" t="n">
        <v>46054</v>
      </c>
      <c r="E232" s="1" t="n">
        <v>46231</v>
      </c>
      <c r="F232" t="inlineStr">
        <is>
          <t>KALMAR LÄN</t>
        </is>
      </c>
      <c r="G232" t="inlineStr">
        <is>
          <t>KALMAR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6144-2026</t>
        </is>
      </c>
      <c r="B233" t="inlineStr">
        <is>
          <t>avverkningsanmälan</t>
        </is>
      </c>
      <c r="C233" t="inlineStr">
        <is>
          <t>Föryngringsavverkning</t>
        </is>
      </c>
      <c r="D233" s="1" t="n">
        <v>46054</v>
      </c>
      <c r="E233" s="1" t="n">
        <v>46231</v>
      </c>
      <c r="F233" t="inlineStr">
        <is>
          <t>KALMAR LÄN</t>
        </is>
      </c>
      <c r="G233" t="inlineStr">
        <is>
          <t>KALMAR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5460-2022</t>
        </is>
      </c>
      <c r="B234" t="inlineStr">
        <is>
          <t>avverkningsanmälan</t>
        </is>
      </c>
      <c r="C234" t="inlineStr">
        <is>
          <t>Föryngringsavverkning</t>
        </is>
      </c>
      <c r="D234" s="1" t="n">
        <v>44595</v>
      </c>
      <c r="E234" s="1" t="n">
        <v>46231</v>
      </c>
      <c r="F234" t="inlineStr">
        <is>
          <t>KALMAR LÄN</t>
        </is>
      </c>
      <c r="G234" t="inlineStr">
        <is>
          <t>KALMAR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5464-2022</t>
        </is>
      </c>
      <c r="B235" t="inlineStr">
        <is>
          <t>avverkningsanmälan</t>
        </is>
      </c>
      <c r="C235" t="inlineStr">
        <is>
          <t>Föryngringsavverkning</t>
        </is>
      </c>
      <c r="D235" s="1" t="n">
        <v>44595</v>
      </c>
      <c r="E235" s="1" t="n">
        <v>46231</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11812-2023</t>
        </is>
      </c>
      <c r="B236" t="inlineStr">
        <is>
          <t>avverkningsanmälan</t>
        </is>
      </c>
      <c r="C236" t="inlineStr">
        <is>
          <t>Föryngringsavverkning</t>
        </is>
      </c>
      <c r="D236" s="1" t="n">
        <v>44994</v>
      </c>
      <c r="E236" s="1" t="n">
        <v>46231</v>
      </c>
      <c r="F236" t="inlineStr">
        <is>
          <t>KALMAR LÄN</t>
        </is>
      </c>
      <c r="G236" t="inlineStr">
        <is>
          <t>KALMAR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16331-2023</t>
        </is>
      </c>
      <c r="B237" t="inlineStr">
        <is>
          <t>avverkningsanmälan</t>
        </is>
      </c>
      <c r="C237" t="inlineStr">
        <is>
          <t>Avverkning för annat ändamål</t>
        </is>
      </c>
      <c r="D237" s="1" t="n">
        <v>45028</v>
      </c>
      <c r="E237" s="1" t="n">
        <v>46231</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61927-2021</t>
        </is>
      </c>
      <c r="B238" t="inlineStr">
        <is>
          <t>avverkningsanmälan</t>
        </is>
      </c>
      <c r="C238" t="inlineStr">
        <is>
          <t>Föryngringsavverkning</t>
        </is>
      </c>
      <c r="D238" s="1" t="n">
        <v>44502</v>
      </c>
      <c r="E238" s="1" t="n">
        <v>46231</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6043-2025</t>
        </is>
      </c>
      <c r="B239" t="inlineStr">
        <is>
          <t>avverkningsanmälan</t>
        </is>
      </c>
      <c r="C239" t="inlineStr">
        <is>
          <t>Föryngringsavverkning</t>
        </is>
      </c>
      <c r="D239" s="1" t="n">
        <v>45695</v>
      </c>
      <c r="E239" s="1" t="n">
        <v>46231</v>
      </c>
      <c r="F239" t="inlineStr">
        <is>
          <t>KALMAR LÄN</t>
        </is>
      </c>
      <c r="G239" t="inlineStr">
        <is>
          <t>KALMAR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7711-2026</t>
        </is>
      </c>
      <c r="B240" t="inlineStr">
        <is>
          <t>avverkningsanmälan</t>
        </is>
      </c>
      <c r="C240" t="inlineStr">
        <is>
          <t>Föryngringsavverkning</t>
        </is>
      </c>
      <c r="D240" s="1" t="n">
        <v>46062</v>
      </c>
      <c r="E240" s="1" t="n">
        <v>46231</v>
      </c>
      <c r="F240" t="inlineStr">
        <is>
          <t>KALMAR LÄN</t>
        </is>
      </c>
      <c r="G240" t="inlineStr">
        <is>
          <t>KALMAR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28987-2023</t>
        </is>
      </c>
      <c r="B241" t="inlineStr">
        <is>
          <t>avverkningsanmälan</t>
        </is>
      </c>
      <c r="C241" t="inlineStr">
        <is>
          <t>Föryngringsavverkning</t>
        </is>
      </c>
      <c r="D241" s="1" t="n">
        <v>45104</v>
      </c>
      <c r="E241" s="1" t="n">
        <v>46231</v>
      </c>
      <c r="F241" t="inlineStr">
        <is>
          <t>KALMAR LÄN</t>
        </is>
      </c>
      <c r="G241" t="inlineStr">
        <is>
          <t>KALMAR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7939-2026</t>
        </is>
      </c>
      <c r="B242" t="inlineStr">
        <is>
          <t>avverkningsanmälan</t>
        </is>
      </c>
      <c r="C242" t="inlineStr">
        <is>
          <t>Föryngringsavverkning</t>
        </is>
      </c>
      <c r="D242" s="1" t="n">
        <v>46063</v>
      </c>
      <c r="E242" s="1" t="n">
        <v>46231</v>
      </c>
      <c r="F242" t="inlineStr">
        <is>
          <t>KALMAR LÄN</t>
        </is>
      </c>
      <c r="G242" t="inlineStr">
        <is>
          <t>KALMAR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8121-2026</t>
        </is>
      </c>
      <c r="B243" t="inlineStr">
        <is>
          <t>avverkningsanmälan</t>
        </is>
      </c>
      <c r="C243" t="inlineStr">
        <is>
          <t>Föryngringsavverkning</t>
        </is>
      </c>
      <c r="D243" s="1" t="n">
        <v>46063</v>
      </c>
      <c r="E243" s="1" t="n">
        <v>46231</v>
      </c>
      <c r="F243" t="inlineStr">
        <is>
          <t>KALMAR LÄN</t>
        </is>
      </c>
      <c r="G243" t="inlineStr">
        <is>
          <t>KALMAR</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51979-2022</t>
        </is>
      </c>
      <c r="B244" t="inlineStr">
        <is>
          <t>avverkningsanmälan</t>
        </is>
      </c>
      <c r="C244" t="inlineStr">
        <is>
          <t>Föryngringsavverkning</t>
        </is>
      </c>
      <c r="D244" s="1" t="n">
        <v>44872</v>
      </c>
      <c r="E244" s="1" t="n">
        <v>46231</v>
      </c>
      <c r="F244" t="inlineStr">
        <is>
          <t>KALMAR LÄN</t>
        </is>
      </c>
      <c r="G244" t="inlineStr">
        <is>
          <t>KALMAR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7931-2026</t>
        </is>
      </c>
      <c r="B245" t="inlineStr">
        <is>
          <t>avverkningsanmälan</t>
        </is>
      </c>
      <c r="C245" t="inlineStr">
        <is>
          <t>Föryngringsavverkning</t>
        </is>
      </c>
      <c r="D245" s="1" t="n">
        <v>46063</v>
      </c>
      <c r="E245" s="1" t="n">
        <v>46231</v>
      </c>
      <c r="F245" t="inlineStr">
        <is>
          <t>KALMAR LÄN</t>
        </is>
      </c>
      <c r="G245" t="inlineStr">
        <is>
          <t>KALMAR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8117-2026</t>
        </is>
      </c>
      <c r="B246" t="inlineStr">
        <is>
          <t>avverkningsanmälan</t>
        </is>
      </c>
      <c r="C246" t="inlineStr">
        <is>
          <t>Föryngringsavverkning</t>
        </is>
      </c>
      <c r="D246" s="1" t="n">
        <v>46063</v>
      </c>
      <c r="E246" s="1" t="n">
        <v>46231</v>
      </c>
      <c r="F246" t="inlineStr">
        <is>
          <t>KALMAR LÄN</t>
        </is>
      </c>
      <c r="G246" t="inlineStr">
        <is>
          <t>KALMAR</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9210-2026</t>
        </is>
      </c>
      <c r="B247" t="inlineStr">
        <is>
          <t>avverkningsanmälan</t>
        </is>
      </c>
      <c r="C247" t="inlineStr">
        <is>
          <t>Föryngringsavverkning</t>
        </is>
      </c>
      <c r="D247" s="1" t="n">
        <v>46070</v>
      </c>
      <c r="E247" s="1" t="n">
        <v>46231</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7471-2023</t>
        </is>
      </c>
      <c r="B248" t="inlineStr">
        <is>
          <t>avverkningsanmälan</t>
        </is>
      </c>
      <c r="C248" t="inlineStr">
        <is>
          <t>Föryngringsavverkning</t>
        </is>
      </c>
      <c r="D248" s="1" t="n">
        <v>44971</v>
      </c>
      <c r="E248" s="1" t="n">
        <v>46231</v>
      </c>
      <c r="F248" t="inlineStr">
        <is>
          <t>KALMAR LÄN</t>
        </is>
      </c>
      <c r="G248" t="inlineStr">
        <is>
          <t>KALMAR</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24002-2025</t>
        </is>
      </c>
      <c r="B249" t="inlineStr">
        <is>
          <t>avverkningsanmälan</t>
        </is>
      </c>
      <c r="C249" t="inlineStr">
        <is>
          <t>Föryngringsavverkning</t>
        </is>
      </c>
      <c r="D249" s="1" t="n">
        <v>45796</v>
      </c>
      <c r="E249" s="1" t="n">
        <v>46231</v>
      </c>
      <c r="F249" t="inlineStr">
        <is>
          <t>KALMAR LÄN</t>
        </is>
      </c>
      <c r="G249" t="inlineStr">
        <is>
          <t>KALMAR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22825-2025</t>
        </is>
      </c>
      <c r="B250" t="inlineStr">
        <is>
          <t>avverkningsanmälan</t>
        </is>
      </c>
      <c r="C250" t="inlineStr">
        <is>
          <t>Föryngringsavverkning</t>
        </is>
      </c>
      <c r="D250" s="1" t="n">
        <v>45789</v>
      </c>
      <c r="E250" s="1" t="n">
        <v>46231</v>
      </c>
      <c r="F250" t="inlineStr">
        <is>
          <t>KALMAR LÄN</t>
        </is>
      </c>
      <c r="G250" t="inlineStr">
        <is>
          <t>KALMAR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71192-2021</t>
        </is>
      </c>
      <c r="B251" t="inlineStr">
        <is>
          <t>avverkningsanmälan</t>
        </is>
      </c>
      <c r="C251" t="inlineStr">
        <is>
          <t>Föryngringsavverkning</t>
        </is>
      </c>
      <c r="D251" s="1" t="n">
        <v>44539</v>
      </c>
      <c r="E251" s="1" t="n">
        <v>46231</v>
      </c>
      <c r="F251" t="inlineStr">
        <is>
          <t>KALMAR LÄN</t>
        </is>
      </c>
      <c r="G251" t="inlineStr">
        <is>
          <t>KALMAR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9179-2026</t>
        </is>
      </c>
      <c r="B252" t="inlineStr">
        <is>
          <t>avverkningsanmälan</t>
        </is>
      </c>
      <c r="C252" t="inlineStr">
        <is>
          <t>Föryngringsavverkning</t>
        </is>
      </c>
      <c r="D252" s="1" t="n">
        <v>46070</v>
      </c>
      <c r="E252" s="1" t="n">
        <v>46231</v>
      </c>
      <c r="F252" t="inlineStr">
        <is>
          <t>KALMAR LÄN</t>
        </is>
      </c>
      <c r="G252" t="inlineStr">
        <is>
          <t>KALMAR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58800-2024</t>
        </is>
      </c>
      <c r="B253" t="inlineStr">
        <is>
          <t>avverkningsanmälan</t>
        </is>
      </c>
      <c r="C253" t="inlineStr">
        <is>
          <t>Föryngringsavverkning</t>
        </is>
      </c>
      <c r="D253" s="1" t="n">
        <v>45636</v>
      </c>
      <c r="E253" s="1" t="n">
        <v>46231</v>
      </c>
      <c r="F253" t="inlineStr">
        <is>
          <t>KALMAR LÄN</t>
        </is>
      </c>
      <c r="G253" t="inlineStr">
        <is>
          <t>KALMAR</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30504-2024</t>
        </is>
      </c>
      <c r="B254" t="inlineStr">
        <is>
          <t>avverkningsanmälan</t>
        </is>
      </c>
      <c r="C254" t="inlineStr">
        <is>
          <t>Föryngringsavverkning</t>
        </is>
      </c>
      <c r="D254" s="1" t="n">
        <v>45492</v>
      </c>
      <c r="E254" s="1" t="n">
        <v>46231</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33816-2025</t>
        </is>
      </c>
      <c r="B255" t="inlineStr">
        <is>
          <t>avverkningsanmälan</t>
        </is>
      </c>
      <c r="C255" t="inlineStr">
        <is>
          <t>Föryngringsavverkning</t>
        </is>
      </c>
      <c r="D255" s="1" t="n">
        <v>45842</v>
      </c>
      <c r="E255" s="1" t="n">
        <v>46231</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33780-2025</t>
        </is>
      </c>
      <c r="B256" t="inlineStr">
        <is>
          <t>avverkningsanmälan</t>
        </is>
      </c>
      <c r="C256" t="inlineStr">
        <is>
          <t>Avverkning för att bevara och utveckla /försöksver</t>
        </is>
      </c>
      <c r="D256" s="1" t="n">
        <v>45842</v>
      </c>
      <c r="E256" s="1" t="n">
        <v>46231</v>
      </c>
      <c r="F256" t="inlineStr">
        <is>
          <t>KALMAR LÄN</t>
        </is>
      </c>
      <c r="G256" t="inlineStr">
        <is>
          <t>KALMAR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9370-2026</t>
        </is>
      </c>
      <c r="B257" t="inlineStr">
        <is>
          <t>avverkningsanmälan</t>
        </is>
      </c>
      <c r="C257" t="inlineStr">
        <is>
          <t>Föryngringsavverkning</t>
        </is>
      </c>
      <c r="D257" s="1" t="n">
        <v>46070</v>
      </c>
      <c r="E257" s="1" t="n">
        <v>46231</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39748-2023</t>
        </is>
      </c>
      <c r="B258" t="inlineStr">
        <is>
          <t>avverkningsanmälan</t>
        </is>
      </c>
      <c r="C258" t="inlineStr">
        <is>
          <t>Föryngringsavverkning</t>
        </is>
      </c>
      <c r="D258" s="1" t="n">
        <v>45167</v>
      </c>
      <c r="E258" s="1" t="n">
        <v>46231</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24001-2025</t>
        </is>
      </c>
      <c r="B259" t="inlineStr">
        <is>
          <t>avverkningsanmälan</t>
        </is>
      </c>
      <c r="C259" t="inlineStr">
        <is>
          <t>Föryngringsavverkning</t>
        </is>
      </c>
      <c r="D259" s="1" t="n">
        <v>45796</v>
      </c>
      <c r="E259" s="1" t="n">
        <v>46231</v>
      </c>
      <c r="F259" t="inlineStr">
        <is>
          <t>KALMAR LÄN</t>
        </is>
      </c>
      <c r="G259" t="inlineStr">
        <is>
          <t>KALMAR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20658-2023</t>
        </is>
      </c>
      <c r="B260" t="inlineStr">
        <is>
          <t>avverkningsanmälan</t>
        </is>
      </c>
      <c r="C260" t="inlineStr">
        <is>
          <t>Föryngringsavverkning</t>
        </is>
      </c>
      <c r="D260" s="1" t="n">
        <v>45058</v>
      </c>
      <c r="E260" s="1" t="n">
        <v>46231</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10365-2025</t>
        </is>
      </c>
      <c r="B261" t="inlineStr">
        <is>
          <t>avverkningsanmälan</t>
        </is>
      </c>
      <c r="C261" t="inlineStr">
        <is>
          <t>Föryngringsavverkning</t>
        </is>
      </c>
      <c r="D261" s="1" t="n">
        <v>45720</v>
      </c>
      <c r="E261" s="1" t="n">
        <v>46231</v>
      </c>
      <c r="F261" t="inlineStr">
        <is>
          <t>KALMAR LÄN</t>
        </is>
      </c>
      <c r="G261" t="inlineStr">
        <is>
          <t>KALMAR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61285-2022</t>
        </is>
      </c>
      <c r="B262" t="inlineStr">
        <is>
          <t>avverkningsanmälan</t>
        </is>
      </c>
      <c r="C262" t="inlineStr">
        <is>
          <t>Föryngringsavverkning</t>
        </is>
      </c>
      <c r="D262" s="1" t="n">
        <v>44915</v>
      </c>
      <c r="E262" s="1" t="n">
        <v>46231</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53388-2023</t>
        </is>
      </c>
      <c r="B263" t="inlineStr">
        <is>
          <t>avverkningsanmälan</t>
        </is>
      </c>
      <c r="C263" t="inlineStr">
        <is>
          <t>Föryngringsavverkning</t>
        </is>
      </c>
      <c r="D263" s="1" t="n">
        <v>45229</v>
      </c>
      <c r="E263" s="1" t="n">
        <v>46231</v>
      </c>
      <c r="F263" t="inlineStr">
        <is>
          <t>KALMAR LÄN</t>
        </is>
      </c>
      <c r="G263" t="inlineStr">
        <is>
          <t>KALMAR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44981-2021</t>
        </is>
      </c>
      <c r="B264" t="inlineStr">
        <is>
          <t>avverkningsanmälan</t>
        </is>
      </c>
      <c r="C264" t="inlineStr">
        <is>
          <t>Föryngringsavverkning</t>
        </is>
      </c>
      <c r="D264" s="1" t="n">
        <v>44438</v>
      </c>
      <c r="E264" s="1" t="n">
        <v>46231</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35799-2025</t>
        </is>
      </c>
      <c r="B265" t="inlineStr">
        <is>
          <t>avverkningsanmälan</t>
        </is>
      </c>
      <c r="C265" t="inlineStr">
        <is>
          <t>Föryngringsavverkning</t>
        </is>
      </c>
      <c r="D265" s="1" t="n">
        <v>45861</v>
      </c>
      <c r="E265" s="1" t="n">
        <v>46231</v>
      </c>
      <c r="F265" t="inlineStr">
        <is>
          <t>KALMAR LÄN</t>
        </is>
      </c>
      <c r="G265" t="inlineStr">
        <is>
          <t>KALMAR</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30860-2025</t>
        </is>
      </c>
      <c r="B266" t="inlineStr">
        <is>
          <t>avverkningsanmälan</t>
        </is>
      </c>
      <c r="C266" t="inlineStr">
        <is>
          <t>Föryngringsavverkning</t>
        </is>
      </c>
      <c r="D266" s="1" t="n">
        <v>45831</v>
      </c>
      <c r="E266" s="1" t="n">
        <v>46231</v>
      </c>
      <c r="F266" t="inlineStr">
        <is>
          <t>KALMAR LÄN</t>
        </is>
      </c>
      <c r="G266" t="inlineStr">
        <is>
          <t>KALMAR</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51152-2023</t>
        </is>
      </c>
      <c r="B267" t="inlineStr">
        <is>
          <t>avverkningsanmälan</t>
        </is>
      </c>
      <c r="C267" t="inlineStr">
        <is>
          <t>Föryngringsavverkning</t>
        </is>
      </c>
      <c r="D267" s="1" t="n">
        <v>45219</v>
      </c>
      <c r="E267" s="1" t="n">
        <v>46231</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21278-2025</t>
        </is>
      </c>
      <c r="B268" t="inlineStr">
        <is>
          <t>avverkningsanmälan</t>
        </is>
      </c>
      <c r="C268" t="inlineStr">
        <is>
          <t>Föryngringsavverkning</t>
        </is>
      </c>
      <c r="D268" s="1" t="n">
        <v>45779</v>
      </c>
      <c r="E268" s="1" t="n">
        <v>46231</v>
      </c>
      <c r="F268" t="inlineStr">
        <is>
          <t>KALMAR LÄN</t>
        </is>
      </c>
      <c r="G268" t="inlineStr">
        <is>
          <t>KALMAR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19042-2025</t>
        </is>
      </c>
      <c r="B269" t="inlineStr">
        <is>
          <t>avverkningsanmälan</t>
        </is>
      </c>
      <c r="C269" t="inlineStr">
        <is>
          <t>Föryngringsavverkning</t>
        </is>
      </c>
      <c r="D269" s="1" t="n">
        <v>45764</v>
      </c>
      <c r="E269" s="1" t="n">
        <v>46231</v>
      </c>
      <c r="F269" t="inlineStr">
        <is>
          <t>KALMAR LÄN</t>
        </is>
      </c>
      <c r="G269" t="inlineStr">
        <is>
          <t>KALMAR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48225-2023</t>
        </is>
      </c>
      <c r="B270" t="inlineStr">
        <is>
          <t>avverkningsanmälan</t>
        </is>
      </c>
      <c r="C270" t="inlineStr">
        <is>
          <t>Föryngringsavverkning</t>
        </is>
      </c>
      <c r="D270" s="1" t="n">
        <v>45205</v>
      </c>
      <c r="E270" s="1" t="n">
        <v>46231</v>
      </c>
      <c r="F270" t="inlineStr">
        <is>
          <t>KALMAR LÄN</t>
        </is>
      </c>
      <c r="G270" t="inlineStr">
        <is>
          <t>KALMAR</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13571-2023</t>
        </is>
      </c>
      <c r="B271" t="inlineStr">
        <is>
          <t>avverkningsanmälan</t>
        </is>
      </c>
      <c r="C271" t="inlineStr">
        <is>
          <t>Föryngringsavverkning</t>
        </is>
      </c>
      <c r="D271" s="1" t="n">
        <v>45006</v>
      </c>
      <c r="E271" s="1" t="n">
        <v>46231</v>
      </c>
      <c r="F271" t="inlineStr">
        <is>
          <t>KALMAR LÄN</t>
        </is>
      </c>
      <c r="G271" t="inlineStr">
        <is>
          <t>KALMAR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5332-2023</t>
        </is>
      </c>
      <c r="B272" t="inlineStr">
        <is>
          <t>avverkningsanmälan</t>
        </is>
      </c>
      <c r="C272" t="inlineStr">
        <is>
          <t>Föryngringsavverkning</t>
        </is>
      </c>
      <c r="D272" s="1" t="n">
        <v>44959</v>
      </c>
      <c r="E272" s="1" t="n">
        <v>46231</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21384-2023</t>
        </is>
      </c>
      <c r="B273" t="inlineStr">
        <is>
          <t>avverkningsanmälan</t>
        </is>
      </c>
      <c r="C273" t="inlineStr">
        <is>
          <t>Föryngringsavverkning</t>
        </is>
      </c>
      <c r="D273" s="1" t="n">
        <v>45061</v>
      </c>
      <c r="E273" s="1" t="n">
        <v>46231</v>
      </c>
      <c r="F273" t="inlineStr">
        <is>
          <t>KALMAR LÄN</t>
        </is>
      </c>
      <c r="G273" t="inlineStr">
        <is>
          <t>KALMAR</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26097-2023</t>
        </is>
      </c>
      <c r="B274" t="inlineStr">
        <is>
          <t>avverkningsanmälan</t>
        </is>
      </c>
      <c r="C274" t="inlineStr">
        <is>
          <t>Föryngringsavverkning</t>
        </is>
      </c>
      <c r="D274" s="1" t="n">
        <v>45091</v>
      </c>
      <c r="E274" s="1" t="n">
        <v>46231</v>
      </c>
      <c r="F274" t="inlineStr">
        <is>
          <t>KALMAR LÄN</t>
        </is>
      </c>
      <c r="G274" t="inlineStr">
        <is>
          <t>KALMAR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37433-2023</t>
        </is>
      </c>
      <c r="B275" t="inlineStr">
        <is>
          <t>avverkningsanmälan</t>
        </is>
      </c>
      <c r="C275" t="inlineStr">
        <is>
          <t>Föryngringsavverkning</t>
        </is>
      </c>
      <c r="D275" s="1" t="n">
        <v>45156</v>
      </c>
      <c r="E275" s="1" t="n">
        <v>46231</v>
      </c>
      <c r="F275" t="inlineStr">
        <is>
          <t>KALMAR LÄN</t>
        </is>
      </c>
      <c r="G275" t="inlineStr">
        <is>
          <t>KALMAR</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38781-2022</t>
        </is>
      </c>
      <c r="B276" t="inlineStr">
        <is>
          <t>avverkningsanmälan</t>
        </is>
      </c>
      <c r="C276" t="inlineStr">
        <is>
          <t>Föryngringsavverkning</t>
        </is>
      </c>
      <c r="D276" s="1" t="n">
        <v>44816</v>
      </c>
      <c r="E276" s="1" t="n">
        <v>46231</v>
      </c>
      <c r="F276" t="inlineStr">
        <is>
          <t>KALMAR LÄN</t>
        </is>
      </c>
      <c r="G276" t="inlineStr">
        <is>
          <t>KALMAR</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62940-2023</t>
        </is>
      </c>
      <c r="B277" t="inlineStr">
        <is>
          <t>avverkningsanmälan</t>
        </is>
      </c>
      <c r="C277" t="inlineStr">
        <is>
          <t>Föryngringsavverkning</t>
        </is>
      </c>
      <c r="D277" s="1" t="n">
        <v>45272</v>
      </c>
      <c r="E277" s="1" t="n">
        <v>46231</v>
      </c>
      <c r="F277" t="inlineStr">
        <is>
          <t>KALMAR LÄN</t>
        </is>
      </c>
      <c r="G277" t="inlineStr">
        <is>
          <t>KALMAR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36883-2025</t>
        </is>
      </c>
      <c r="B278" t="inlineStr">
        <is>
          <t>avverkningsanmälan</t>
        </is>
      </c>
      <c r="C278" t="inlineStr">
        <is>
          <t>Föryngringsavverkning</t>
        </is>
      </c>
      <c r="D278" s="1" t="n">
        <v>45874</v>
      </c>
      <c r="E278" s="1" t="n">
        <v>46231</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56125-2024</t>
        </is>
      </c>
      <c r="B279" t="inlineStr">
        <is>
          <t>avverkningsanmälan</t>
        </is>
      </c>
      <c r="C279" t="inlineStr">
        <is>
          <t>Föryngringsavverkning</t>
        </is>
      </c>
      <c r="D279" s="1" t="n">
        <v>45624</v>
      </c>
      <c r="E279" s="1" t="n">
        <v>46231</v>
      </c>
      <c r="F279" t="inlineStr">
        <is>
          <t>KALMAR LÄN</t>
        </is>
      </c>
      <c r="G279" t="inlineStr">
        <is>
          <t>KALMAR</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12933-2026</t>
        </is>
      </c>
      <c r="B280" t="inlineStr">
        <is>
          <t>avverkningsanmälan</t>
        </is>
      </c>
      <c r="C280" t="inlineStr">
        <is>
          <t>Föryngringsavverkning</t>
        </is>
      </c>
      <c r="D280" s="1" t="n">
        <v>46092</v>
      </c>
      <c r="E280" s="1" t="n">
        <v>46231</v>
      </c>
      <c r="F280" t="inlineStr">
        <is>
          <t>KALMAR LÄN</t>
        </is>
      </c>
      <c r="G280" t="inlineStr">
        <is>
          <t>KALMAR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11417-2023</t>
        </is>
      </c>
      <c r="B281" t="inlineStr">
        <is>
          <t>avverkningsanmälan</t>
        </is>
      </c>
      <c r="C281" t="inlineStr">
        <is>
          <t>Föryngringsavverkning</t>
        </is>
      </c>
      <c r="D281" s="1" t="n">
        <v>44993</v>
      </c>
      <c r="E281" s="1" t="n">
        <v>46231</v>
      </c>
      <c r="F281" t="inlineStr">
        <is>
          <t>KALMAR LÄN</t>
        </is>
      </c>
      <c r="G281" t="inlineStr">
        <is>
          <t>KALMAR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12876-2026</t>
        </is>
      </c>
      <c r="B282" t="inlineStr">
        <is>
          <t>avverkningsanmälan</t>
        </is>
      </c>
      <c r="C282" t="inlineStr">
        <is>
          <t>Föryngringsavverkning</t>
        </is>
      </c>
      <c r="D282" s="1" t="n">
        <v>46092</v>
      </c>
      <c r="E282" s="1" t="n">
        <v>46231</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13149-2026</t>
        </is>
      </c>
      <c r="B283" t="inlineStr">
        <is>
          <t>avverkningsanmälan</t>
        </is>
      </c>
      <c r="C283" t="inlineStr">
        <is>
          <t>Föryngringsavverkning</t>
        </is>
      </c>
      <c r="D283" s="1" t="n">
        <v>46093</v>
      </c>
      <c r="E283" s="1" t="n">
        <v>46231</v>
      </c>
      <c r="F283" t="inlineStr">
        <is>
          <t>KALMAR LÄN</t>
        </is>
      </c>
      <c r="G283" t="inlineStr">
        <is>
          <t>KALMAR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59957-2022</t>
        </is>
      </c>
      <c r="B284" t="inlineStr">
        <is>
          <t>avverkningsanmälan</t>
        </is>
      </c>
      <c r="C284" t="inlineStr">
        <is>
          <t>Föryngringsavverkning</t>
        </is>
      </c>
      <c r="D284" s="1" t="n">
        <v>44909</v>
      </c>
      <c r="E284" s="1" t="n">
        <v>46231</v>
      </c>
      <c r="F284" t="inlineStr">
        <is>
          <t>KALMAR LÄN</t>
        </is>
      </c>
      <c r="G284" t="inlineStr">
        <is>
          <t>KALMAR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22055-2025</t>
        </is>
      </c>
      <c r="B285" t="inlineStr">
        <is>
          <t>avverkningsanmälan</t>
        </is>
      </c>
      <c r="C285" t="inlineStr">
        <is>
          <t>Föryngringsavverkning</t>
        </is>
      </c>
      <c r="D285" s="1" t="n">
        <v>45785</v>
      </c>
      <c r="E285" s="1" t="n">
        <v>46231</v>
      </c>
      <c r="F285" t="inlineStr">
        <is>
          <t>KALMAR LÄN</t>
        </is>
      </c>
      <c r="G285" t="inlineStr">
        <is>
          <t>KALMAR</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14269-2026</t>
        </is>
      </c>
      <c r="B286" t="inlineStr">
        <is>
          <t>avverkningsanmälan</t>
        </is>
      </c>
      <c r="C286" t="inlineStr">
        <is>
          <t>Föryngringsavverkning</t>
        </is>
      </c>
      <c r="D286" s="1" t="n">
        <v>46099</v>
      </c>
      <c r="E286" s="1" t="n">
        <v>46231</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8122-2025</t>
        </is>
      </c>
      <c r="B287" t="inlineStr">
        <is>
          <t>avverkningsanmälan</t>
        </is>
      </c>
      <c r="C287" t="inlineStr">
        <is>
          <t>Föryngringsavverkning</t>
        </is>
      </c>
      <c r="D287" s="1" t="n">
        <v>45707</v>
      </c>
      <c r="E287" s="1" t="n">
        <v>46231</v>
      </c>
      <c r="F287" t="inlineStr">
        <is>
          <t>KALMAR LÄN</t>
        </is>
      </c>
      <c r="G287" t="inlineStr">
        <is>
          <t>KALMAR</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56293-2024</t>
        </is>
      </c>
      <c r="B288" t="inlineStr">
        <is>
          <t>avverkningsanmälan</t>
        </is>
      </c>
      <c r="C288" t="inlineStr">
        <is>
          <t>Föryngringsavverkning</t>
        </is>
      </c>
      <c r="D288" s="1" t="n">
        <v>45624</v>
      </c>
      <c r="E288" s="1" t="n">
        <v>46231</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56119-2024</t>
        </is>
      </c>
      <c r="B289" t="inlineStr">
        <is>
          <t>avverkningsanmälan</t>
        </is>
      </c>
      <c r="C289" t="inlineStr">
        <is>
          <t>Föryngringsavverkning</t>
        </is>
      </c>
      <c r="D289" s="1" t="n">
        <v>45624</v>
      </c>
      <c r="E289" s="1" t="n">
        <v>46231</v>
      </c>
      <c r="F289" t="inlineStr">
        <is>
          <t>KALMAR LÄN</t>
        </is>
      </c>
      <c r="G289" t="inlineStr">
        <is>
          <t>KALMAR</t>
        </is>
      </c>
      <c r="H289" t="inlineStr">
        <is>
          <t>Sveaskog</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68423-2021</t>
        </is>
      </c>
      <c r="B290" t="inlineStr">
        <is>
          <t>avverkningsanmälan</t>
        </is>
      </c>
      <c r="C290" t="inlineStr">
        <is>
          <t>Föryngringsavverkning</t>
        </is>
      </c>
      <c r="D290" s="1" t="n">
        <v>44529</v>
      </c>
      <c r="E290" s="1" t="n">
        <v>46231</v>
      </c>
      <c r="F290" t="inlineStr">
        <is>
          <t>KALMAR LÄN</t>
        </is>
      </c>
      <c r="G290" t="inlineStr">
        <is>
          <t>KALMAR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4026-2023</t>
        </is>
      </c>
      <c r="B291" t="inlineStr">
        <is>
          <t>avverkningsanmälan</t>
        </is>
      </c>
      <c r="C291" t="inlineStr">
        <is>
          <t>Föryngringsavverkning</t>
        </is>
      </c>
      <c r="D291" s="1" t="n">
        <v>44952</v>
      </c>
      <c r="E291" s="1" t="n">
        <v>46231</v>
      </c>
      <c r="F291" t="inlineStr">
        <is>
          <t>KALMAR LÄN</t>
        </is>
      </c>
      <c r="G291" t="inlineStr">
        <is>
          <t>KALMAR</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6539-2023</t>
        </is>
      </c>
      <c r="B292" t="inlineStr">
        <is>
          <t>avverkningsanmälan</t>
        </is>
      </c>
      <c r="C292" t="inlineStr">
        <is>
          <t>Föryngringsavverkning</t>
        </is>
      </c>
      <c r="D292" s="1" t="n">
        <v>44966</v>
      </c>
      <c r="E292" s="1" t="n">
        <v>46231</v>
      </c>
      <c r="F292" t="inlineStr">
        <is>
          <t>KALMAR LÄN</t>
        </is>
      </c>
      <c r="G292" t="inlineStr">
        <is>
          <t>KALMAR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9712-2023</t>
        </is>
      </c>
      <c r="B293" t="inlineStr">
        <is>
          <t>avverkningsanmälan</t>
        </is>
      </c>
      <c r="C293" t="inlineStr">
        <is>
          <t>Föryngringsavverkning</t>
        </is>
      </c>
      <c r="D293" s="1" t="n">
        <v>44984</v>
      </c>
      <c r="E293" s="1" t="n">
        <v>46231</v>
      </c>
      <c r="F293" t="inlineStr">
        <is>
          <t>KALMAR LÄN</t>
        </is>
      </c>
      <c r="G293" t="inlineStr">
        <is>
          <t>KALMAR</t>
        </is>
      </c>
      <c r="I293" t="n">
        <v>1.1</v>
      </c>
      <c r="J293" t="n">
        <v>0</v>
      </c>
      <c r="K293" t="n">
        <v>0</v>
      </c>
      <c r="L293" t="n">
        <v>0</v>
      </c>
      <c r="M293" t="n">
        <v>0</v>
      </c>
      <c r="N293" t="n">
        <v>0</v>
      </c>
      <c r="O293" t="n">
        <v>0</v>
      </c>
      <c r="P293" t="n">
        <v>0</v>
      </c>
      <c r="Q293" t="n">
        <v>0</v>
      </c>
      <c r="R293" t="n">
        <v>0</v>
      </c>
      <c r="S293" t="n">
        <v>0</v>
      </c>
      <c r="T293" t="n">
        <v>0</v>
      </c>
      <c r="U293" t="n">
        <v>0</v>
      </c>
      <c r="V293" s="2" t="inlineStr"/>
      <c r="Z293">
        <f>HYPERLINK("https://klasma.github.io/Logging_0880/knärot/A 9712-2023 karta knärot.png", "A 9712-2023")</f>
        <v/>
      </c>
      <c r="AA293">
        <f>HYPERLINK("https://klasma.github.io/Logging_0880/klagomål/A 9712-2023 FSC-klagomål.docx", "A 9712-2023")</f>
        <v/>
      </c>
      <c r="AB293">
        <f>HYPERLINK("https://klasma.github.io/Logging_0880/klagomålsmail/A 9712-2023 FSC-klagomål mail.docx", "A 9712-2023")</f>
        <v/>
      </c>
      <c r="AC293">
        <f>HYPERLINK("https://klasma.github.io/Logging_0880/tillsyn/A 9712-2023 tillsynsbegäran.docx", "A 9712-2023")</f>
        <v/>
      </c>
      <c r="AD293">
        <f>HYPERLINK("https://klasma.github.io/Logging_0880/tillsynsmail/A 9712-2023 tillsynsbegäran mail.docx", "A 9712-2023")</f>
        <v/>
      </c>
    </row>
    <row r="294" ht="15" customHeight="1">
      <c r="A294" t="inlineStr">
        <is>
          <t>A 9727-2023</t>
        </is>
      </c>
      <c r="B294" t="inlineStr">
        <is>
          <t>avverkningsanmälan</t>
        </is>
      </c>
      <c r="C294" t="inlineStr">
        <is>
          <t>Föryngringsavverkning</t>
        </is>
      </c>
      <c r="D294" s="1" t="n">
        <v>44984</v>
      </c>
      <c r="E294" s="1" t="n">
        <v>46231</v>
      </c>
      <c r="F294" t="inlineStr">
        <is>
          <t>KALMAR LÄN</t>
        </is>
      </c>
      <c r="G294" t="inlineStr">
        <is>
          <t>KALMAR</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7742-2023</t>
        </is>
      </c>
      <c r="B295" t="inlineStr">
        <is>
          <t>avverkningsanmälan</t>
        </is>
      </c>
      <c r="C295" t="inlineStr">
        <is>
          <t>Föryngringsavverkning</t>
        </is>
      </c>
      <c r="D295" s="1" t="n">
        <v>44973</v>
      </c>
      <c r="E295" s="1" t="n">
        <v>46231</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54745-2024</t>
        </is>
      </c>
      <c r="B296" t="inlineStr">
        <is>
          <t>avverkningsanmälan</t>
        </is>
      </c>
      <c r="C296" t="inlineStr">
        <is>
          <t>Avverkning för att bevara och utveckla /försöksver</t>
        </is>
      </c>
      <c r="D296" s="1" t="n">
        <v>45618</v>
      </c>
      <c r="E296" s="1" t="n">
        <v>46231</v>
      </c>
      <c r="F296" t="inlineStr">
        <is>
          <t>KALMAR LÄN</t>
        </is>
      </c>
      <c r="G296" t="inlineStr">
        <is>
          <t>KALMAR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12925-2023</t>
        </is>
      </c>
      <c r="B297" t="inlineStr">
        <is>
          <t>avverkningsanmälan</t>
        </is>
      </c>
      <c r="C297" t="inlineStr">
        <is>
          <t>Föryngringsavverkning</t>
        </is>
      </c>
      <c r="D297" s="1" t="n">
        <v>45001</v>
      </c>
      <c r="E297" s="1" t="n">
        <v>46231</v>
      </c>
      <c r="F297" t="inlineStr">
        <is>
          <t>KALMAR LÄN</t>
        </is>
      </c>
      <c r="G297" t="inlineStr">
        <is>
          <t>KALMAR</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16121-2026</t>
        </is>
      </c>
      <c r="B298" t="inlineStr">
        <is>
          <t>avverkningsanmälan</t>
        </is>
      </c>
      <c r="C298" t="inlineStr">
        <is>
          <t>Föryngringsavverkning</t>
        </is>
      </c>
      <c r="D298" s="1" t="n">
        <v>46108</v>
      </c>
      <c r="E298" s="1" t="n">
        <v>46231</v>
      </c>
      <c r="F298" t="inlineStr">
        <is>
          <t>KALMAR LÄN</t>
        </is>
      </c>
      <c r="G298" t="inlineStr">
        <is>
          <t>KALMAR</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16401-2026</t>
        </is>
      </c>
      <c r="B299" t="inlineStr">
        <is>
          <t>avverkningsanmälan</t>
        </is>
      </c>
      <c r="C299" t="inlineStr">
        <is>
          <t>Föryngringsavverkning</t>
        </is>
      </c>
      <c r="D299" s="1" t="n">
        <v>46111</v>
      </c>
      <c r="E299" s="1" t="n">
        <v>46231</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16395-2026</t>
        </is>
      </c>
      <c r="B300" t="inlineStr">
        <is>
          <t>avverkningsanmälan</t>
        </is>
      </c>
      <c r="C300" t="inlineStr">
        <is>
          <t>Föryngringsavverkning</t>
        </is>
      </c>
      <c r="D300" s="1" t="n">
        <v>46111</v>
      </c>
      <c r="E300" s="1" t="n">
        <v>46231</v>
      </c>
      <c r="F300" t="inlineStr">
        <is>
          <t>KALMAR LÄN</t>
        </is>
      </c>
      <c r="G300" t="inlineStr">
        <is>
          <t>KALMAR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3566-2025</t>
        </is>
      </c>
      <c r="B301" t="inlineStr">
        <is>
          <t>avverkningsanmälan</t>
        </is>
      </c>
      <c r="C301" t="inlineStr">
        <is>
          <t>Föryngringsavverkning</t>
        </is>
      </c>
      <c r="D301" s="1" t="n">
        <v>45680</v>
      </c>
      <c r="E301" s="1" t="n">
        <v>46231</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11388-2023</t>
        </is>
      </c>
      <c r="B302" t="inlineStr">
        <is>
          <t>avverkningsanmälan</t>
        </is>
      </c>
      <c r="C302" t="inlineStr">
        <is>
          <t>Avverkning för annat ändamål</t>
        </is>
      </c>
      <c r="D302" s="1" t="n">
        <v>44993</v>
      </c>
      <c r="E302" s="1" t="n">
        <v>46231</v>
      </c>
      <c r="F302" t="inlineStr">
        <is>
          <t>KALMAR LÄN</t>
        </is>
      </c>
      <c r="G302" t="inlineStr">
        <is>
          <t>KALMAR</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25515-2022</t>
        </is>
      </c>
      <c r="B303" t="inlineStr">
        <is>
          <t>avverkningsanmälan</t>
        </is>
      </c>
      <c r="C303" t="inlineStr">
        <is>
          <t>Föryngringsavverkning</t>
        </is>
      </c>
      <c r="D303" s="1" t="n">
        <v>44732</v>
      </c>
      <c r="E303" s="1" t="n">
        <v>46231</v>
      </c>
      <c r="F303" t="inlineStr">
        <is>
          <t>KALMAR LÄN</t>
        </is>
      </c>
      <c r="G303" t="inlineStr">
        <is>
          <t>KALMAR</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62457-2022</t>
        </is>
      </c>
      <c r="B304" t="inlineStr">
        <is>
          <t>avverkningsanmälan</t>
        </is>
      </c>
      <c r="C304" t="inlineStr">
        <is>
          <t>Föryngringsavverkning</t>
        </is>
      </c>
      <c r="D304" s="1" t="n">
        <v>44924</v>
      </c>
      <c r="E304" s="1" t="n">
        <v>46231</v>
      </c>
      <c r="F304" t="inlineStr">
        <is>
          <t>KALMAR LÄN</t>
        </is>
      </c>
      <c r="G304" t="inlineStr">
        <is>
          <t>KALMAR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38244-2023</t>
        </is>
      </c>
      <c r="B305" t="inlineStr">
        <is>
          <t>avverkningsanmälan</t>
        </is>
      </c>
      <c r="C305" t="inlineStr">
        <is>
          <t>Föryngringsavverkning</t>
        </is>
      </c>
      <c r="D305" s="1" t="n">
        <v>45161</v>
      </c>
      <c r="E305" s="1" t="n">
        <v>46231</v>
      </c>
      <c r="F305" t="inlineStr">
        <is>
          <t>KALMAR LÄN</t>
        </is>
      </c>
      <c r="G305" t="inlineStr">
        <is>
          <t>KALMAR</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16504-2026</t>
        </is>
      </c>
      <c r="B306" t="inlineStr">
        <is>
          <t>avverkningsanmälan</t>
        </is>
      </c>
      <c r="C306" t="inlineStr">
        <is>
          <t>Föryngringsavverkning</t>
        </is>
      </c>
      <c r="D306" s="1" t="n">
        <v>46112</v>
      </c>
      <c r="E306" s="1" t="n">
        <v>46231</v>
      </c>
      <c r="F306" t="inlineStr">
        <is>
          <t>KALMAR LÄN</t>
        </is>
      </c>
      <c r="G306" t="inlineStr">
        <is>
          <t>KALMAR</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17352-2026</t>
        </is>
      </c>
      <c r="B307" t="inlineStr">
        <is>
          <t>avverkningsanmälan</t>
        </is>
      </c>
      <c r="C307" t="inlineStr">
        <is>
          <t>Föryngringsavverkning</t>
        </is>
      </c>
      <c r="D307" s="1" t="n">
        <v>46119</v>
      </c>
      <c r="E307" s="1" t="n">
        <v>46231</v>
      </c>
      <c r="F307" t="inlineStr">
        <is>
          <t>KALMAR LÄN</t>
        </is>
      </c>
      <c r="G307" t="inlineStr">
        <is>
          <t>KALMAR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17381-2026</t>
        </is>
      </c>
      <c r="B308" t="inlineStr">
        <is>
          <t>avverkningsanmälan</t>
        </is>
      </c>
      <c r="C308" t="inlineStr">
        <is>
          <t>Föryngringsavverkning</t>
        </is>
      </c>
      <c r="D308" s="1" t="n">
        <v>46119</v>
      </c>
      <c r="E308" s="1" t="n">
        <v>46231</v>
      </c>
      <c r="F308" t="inlineStr">
        <is>
          <t>KALMAR LÄN</t>
        </is>
      </c>
      <c r="G308" t="inlineStr">
        <is>
          <t>KALMAR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31334-2023</t>
        </is>
      </c>
      <c r="B309" t="inlineStr">
        <is>
          <t>avverkningsanmälan</t>
        </is>
      </c>
      <c r="C309" t="inlineStr">
        <is>
          <t>Föryngringsavverkning</t>
        </is>
      </c>
      <c r="D309" s="1" t="n">
        <v>45114</v>
      </c>
      <c r="E309" s="1" t="n">
        <v>46231</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38071-2024</t>
        </is>
      </c>
      <c r="B310" t="inlineStr">
        <is>
          <t>avverkningsanmälan</t>
        </is>
      </c>
      <c r="C310" t="inlineStr">
        <is>
          <t>Avverkning för annat ändamål</t>
        </is>
      </c>
      <c r="D310" s="1" t="n">
        <v>45544</v>
      </c>
      <c r="E310" s="1" t="n">
        <v>46231</v>
      </c>
      <c r="F310" t="inlineStr">
        <is>
          <t>KALMAR LÄN</t>
        </is>
      </c>
      <c r="G310" t="inlineStr">
        <is>
          <t>KALMAR</t>
        </is>
      </c>
      <c r="H310" t="inlineStr">
        <is>
          <t>Kommuner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33141-2025</t>
        </is>
      </c>
      <c r="B311" t="inlineStr">
        <is>
          <t>avverkningsanmälan</t>
        </is>
      </c>
      <c r="C311" t="inlineStr">
        <is>
          <t>Föryngringsavverkning</t>
        </is>
      </c>
      <c r="D311" s="1" t="n">
        <v>45840</v>
      </c>
      <c r="E311" s="1" t="n">
        <v>46231</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34855-2022</t>
        </is>
      </c>
      <c r="B312" t="inlineStr">
        <is>
          <t>avverkningsanmälan</t>
        </is>
      </c>
      <c r="C312" t="inlineStr">
        <is>
          <t>Föryngringsavverkning</t>
        </is>
      </c>
      <c r="D312" s="1" t="n">
        <v>44796</v>
      </c>
      <c r="E312" s="1" t="n">
        <v>46231</v>
      </c>
      <c r="F312" t="inlineStr">
        <is>
          <t>KALMAR LÄN</t>
        </is>
      </c>
      <c r="G312" t="inlineStr">
        <is>
          <t>KALMAR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19600-2026</t>
        </is>
      </c>
      <c r="B313" t="inlineStr">
        <is>
          <t>avverkningsanmälan</t>
        </is>
      </c>
      <c r="C313" t="inlineStr">
        <is>
          <t>Föryngringsavverkning</t>
        </is>
      </c>
      <c r="D313" s="1" t="n">
        <v>46134</v>
      </c>
      <c r="E313" s="1" t="n">
        <v>46231</v>
      </c>
      <c r="F313" t="inlineStr">
        <is>
          <t>KALMAR LÄN</t>
        </is>
      </c>
      <c r="G313" t="inlineStr">
        <is>
          <t>KALMAR</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19592-2026</t>
        </is>
      </c>
      <c r="B314" t="inlineStr">
        <is>
          <t>avverkningsanmälan</t>
        </is>
      </c>
      <c r="C314" t="inlineStr">
        <is>
          <t>Föryngringsavverkning</t>
        </is>
      </c>
      <c r="D314" s="1" t="n">
        <v>46134</v>
      </c>
      <c r="E314" s="1" t="n">
        <v>46231</v>
      </c>
      <c r="F314" t="inlineStr">
        <is>
          <t>KALMAR LÄN</t>
        </is>
      </c>
      <c r="G314" t="inlineStr">
        <is>
          <t>KALMAR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43892-2025</t>
        </is>
      </c>
      <c r="B315" t="inlineStr">
        <is>
          <t>avverkningsanmälan</t>
        </is>
      </c>
      <c r="C315" t="inlineStr">
        <is>
          <t>Föryngringsavverkning</t>
        </is>
      </c>
      <c r="D315" s="1" t="n">
        <v>45912</v>
      </c>
      <c r="E315" s="1" t="n">
        <v>46231</v>
      </c>
      <c r="F315" t="inlineStr">
        <is>
          <t>KALMAR LÄN</t>
        </is>
      </c>
      <c r="G315" t="inlineStr">
        <is>
          <t>KALMAR</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40647-2022</t>
        </is>
      </c>
      <c r="B316" t="inlineStr">
        <is>
          <t>avverkningsanmälan</t>
        </is>
      </c>
      <c r="C316" t="inlineStr">
        <is>
          <t>Föryngringsavverkning</t>
        </is>
      </c>
      <c r="D316" s="1" t="n">
        <v>44824</v>
      </c>
      <c r="E316" s="1" t="n">
        <v>46231</v>
      </c>
      <c r="F316" t="inlineStr">
        <is>
          <t>KALMAR LÄN</t>
        </is>
      </c>
      <c r="G316" t="inlineStr">
        <is>
          <t>KALMAR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2318-2026</t>
        </is>
      </c>
      <c r="B317" t="inlineStr">
        <is>
          <t>avverkningsanmälan</t>
        </is>
      </c>
      <c r="C317" t="inlineStr">
        <is>
          <t>Föryngringsavverkning</t>
        </is>
      </c>
      <c r="D317" s="1" t="n">
        <v>46036</v>
      </c>
      <c r="E317" s="1" t="n">
        <v>46231</v>
      </c>
      <c r="F317" t="inlineStr">
        <is>
          <t>KALMAR LÄN</t>
        </is>
      </c>
      <c r="G317" t="inlineStr">
        <is>
          <t>KALMAR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43891-2025</t>
        </is>
      </c>
      <c r="B318" t="inlineStr">
        <is>
          <t>avverkningsanmälan</t>
        </is>
      </c>
      <c r="C318" t="inlineStr">
        <is>
          <t>Föryngringsavverkning</t>
        </is>
      </c>
      <c r="D318" s="1" t="n">
        <v>45912</v>
      </c>
      <c r="E318" s="1" t="n">
        <v>46231</v>
      </c>
      <c r="F318" t="inlineStr">
        <is>
          <t>KALMAR LÄN</t>
        </is>
      </c>
      <c r="G318" t="inlineStr">
        <is>
          <t>KALMAR</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22-2022</t>
        </is>
      </c>
      <c r="B319" t="inlineStr">
        <is>
          <t>avverkningsanmälan</t>
        </is>
      </c>
      <c r="C319" t="inlineStr">
        <is>
          <t>Föryngringsavverkning</t>
        </is>
      </c>
      <c r="D319" s="1" t="n">
        <v>44564</v>
      </c>
      <c r="E319" s="1" t="n">
        <v>46231</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62984-2025</t>
        </is>
      </c>
      <c r="B320" t="inlineStr">
        <is>
          <t>avverkningsanmälan</t>
        </is>
      </c>
      <c r="C320" t="inlineStr">
        <is>
          <t>Föryngringsavverkning</t>
        </is>
      </c>
      <c r="D320" s="1" t="n">
        <v>46009</v>
      </c>
      <c r="E320" s="1" t="n">
        <v>46231</v>
      </c>
      <c r="F320" t="inlineStr">
        <is>
          <t>KALMAR LÄN</t>
        </is>
      </c>
      <c r="G320" t="inlineStr">
        <is>
          <t>KALMAR</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26094-2023</t>
        </is>
      </c>
      <c r="B321" t="inlineStr">
        <is>
          <t>avverkningsanmälan</t>
        </is>
      </c>
      <c r="C321" t="inlineStr">
        <is>
          <t>Föryngringsavverkning</t>
        </is>
      </c>
      <c r="D321" s="1" t="n">
        <v>45091</v>
      </c>
      <c r="E321" s="1" t="n">
        <v>46231</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10614-2023</t>
        </is>
      </c>
      <c r="B322" t="inlineStr">
        <is>
          <t>avverkningsanmälan</t>
        </is>
      </c>
      <c r="C322" t="inlineStr">
        <is>
          <t>Föryngringsavverkning</t>
        </is>
      </c>
      <c r="D322" s="1" t="n">
        <v>44988</v>
      </c>
      <c r="E322" s="1" t="n">
        <v>46231</v>
      </c>
      <c r="F322" t="inlineStr">
        <is>
          <t>KALMAR LÄN</t>
        </is>
      </c>
      <c r="G322" t="inlineStr">
        <is>
          <t>KALMAR</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4762-2025</t>
        </is>
      </c>
      <c r="B323" t="inlineStr">
        <is>
          <t>avverkningsanmälan</t>
        </is>
      </c>
      <c r="C323" t="inlineStr">
        <is>
          <t>Föryngringsavverkning</t>
        </is>
      </c>
      <c r="D323" s="1" t="n">
        <v>45688</v>
      </c>
      <c r="E323" s="1" t="n">
        <v>46231</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18875-2025</t>
        </is>
      </c>
      <c r="B324" t="inlineStr">
        <is>
          <t>avverkningsanmälan</t>
        </is>
      </c>
      <c r="C324" t="inlineStr">
        <is>
          <t>Föryngringsavverkning</t>
        </is>
      </c>
      <c r="D324" s="1" t="n">
        <v>45764</v>
      </c>
      <c r="E324" s="1" t="n">
        <v>46231</v>
      </c>
      <c r="F324" t="inlineStr">
        <is>
          <t>KALMAR LÄN</t>
        </is>
      </c>
      <c r="G324" t="inlineStr">
        <is>
          <t>KALMAR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57036-2021</t>
        </is>
      </c>
      <c r="B325" t="inlineStr">
        <is>
          <t>avverkningsanmälan</t>
        </is>
      </c>
      <c r="C325" t="inlineStr">
        <is>
          <t>Föryngringsavverkning</t>
        </is>
      </c>
      <c r="D325" s="1" t="n">
        <v>44482</v>
      </c>
      <c r="E325" s="1" t="n">
        <v>46231</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45708-2025</t>
        </is>
      </c>
      <c r="B326" t="inlineStr">
        <is>
          <t>avverkningsanmälan</t>
        </is>
      </c>
      <c r="C326" t="inlineStr">
        <is>
          <t>Föryngringsavverkning</t>
        </is>
      </c>
      <c r="D326" s="1" t="n">
        <v>45923</v>
      </c>
      <c r="E326" s="1" t="n">
        <v>46231</v>
      </c>
      <c r="F326" t="inlineStr">
        <is>
          <t>KALMAR LÄN</t>
        </is>
      </c>
      <c r="G326" t="inlineStr">
        <is>
          <t>KALMAR</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4769-2025</t>
        </is>
      </c>
      <c r="B327" t="inlineStr">
        <is>
          <t>avverkningsanmälan</t>
        </is>
      </c>
      <c r="C327" t="inlineStr">
        <is>
          <t>Föryngringsavverkning</t>
        </is>
      </c>
      <c r="D327" s="1" t="n">
        <v>45688</v>
      </c>
      <c r="E327" s="1" t="n">
        <v>46231</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53196-2023</t>
        </is>
      </c>
      <c r="B328" t="inlineStr">
        <is>
          <t>avverkningsanmälan</t>
        </is>
      </c>
      <c r="C328" t="inlineStr">
        <is>
          <t>Föryngringsavverkning</t>
        </is>
      </c>
      <c r="D328" s="1" t="n">
        <v>45229</v>
      </c>
      <c r="E328" s="1" t="n">
        <v>46231</v>
      </c>
      <c r="F328" t="inlineStr">
        <is>
          <t>KALMAR LÄN</t>
        </is>
      </c>
      <c r="G328" t="inlineStr">
        <is>
          <t>KALMAR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16326-2023</t>
        </is>
      </c>
      <c r="B329" t="inlineStr">
        <is>
          <t>avverkningsanmälan</t>
        </is>
      </c>
      <c r="C329" t="inlineStr">
        <is>
          <t>Föryngringsavverkning</t>
        </is>
      </c>
      <c r="D329" s="1" t="n">
        <v>45028</v>
      </c>
      <c r="E329" s="1" t="n">
        <v>46231</v>
      </c>
      <c r="F329" t="inlineStr">
        <is>
          <t>KALMAR LÄN</t>
        </is>
      </c>
      <c r="G329" t="inlineStr">
        <is>
          <t>KALMAR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44206-2025</t>
        </is>
      </c>
      <c r="B330" t="inlineStr">
        <is>
          <t>avverkningsanmälan</t>
        </is>
      </c>
      <c r="C330" t="inlineStr">
        <is>
          <t>Föryngringsavverkning</t>
        </is>
      </c>
      <c r="D330" s="1" t="n">
        <v>45915</v>
      </c>
      <c r="E330" s="1" t="n">
        <v>46231</v>
      </c>
      <c r="F330" t="inlineStr">
        <is>
          <t>KALMAR LÄN</t>
        </is>
      </c>
      <c r="G330" t="inlineStr">
        <is>
          <t>KALMAR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40449-2022</t>
        </is>
      </c>
      <c r="B331" t="inlineStr">
        <is>
          <t>avverkningsanmälan</t>
        </is>
      </c>
      <c r="C331" t="inlineStr">
        <is>
          <t>Föryngringsavverkning</t>
        </is>
      </c>
      <c r="D331" s="1" t="n">
        <v>44823</v>
      </c>
      <c r="E331" s="1" t="n">
        <v>46231</v>
      </c>
      <c r="F331" t="inlineStr">
        <is>
          <t>KALMAR LÄN</t>
        </is>
      </c>
      <c r="G331" t="inlineStr">
        <is>
          <t>KALMAR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40457-2022</t>
        </is>
      </c>
      <c r="B332" t="inlineStr">
        <is>
          <t>avverkningsanmälan</t>
        </is>
      </c>
      <c r="C332" t="inlineStr">
        <is>
          <t>Föryngringsavverkning</t>
        </is>
      </c>
      <c r="D332" s="1" t="n">
        <v>44823</v>
      </c>
      <c r="E332" s="1" t="n">
        <v>46231</v>
      </c>
      <c r="F332" t="inlineStr">
        <is>
          <t>KALMAR LÄN</t>
        </is>
      </c>
      <c r="G332" t="inlineStr">
        <is>
          <t>KALMAR</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20183-2026</t>
        </is>
      </c>
      <c r="B333" t="inlineStr">
        <is>
          <t>avverkningsanmälan</t>
        </is>
      </c>
      <c r="C333" t="inlineStr">
        <is>
          <t>Föryngringsavverkning</t>
        </is>
      </c>
      <c r="D333" s="1" t="n">
        <v>46139</v>
      </c>
      <c r="E333" s="1" t="n">
        <v>46231</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9534-2022</t>
        </is>
      </c>
      <c r="B334" t="inlineStr">
        <is>
          <t>avverkningsanmälan</t>
        </is>
      </c>
      <c r="C334" t="inlineStr">
        <is>
          <t>Föryngringsavverkning</t>
        </is>
      </c>
      <c r="D334" s="1" t="n">
        <v>44617</v>
      </c>
      <c r="E334" s="1" t="n">
        <v>46231</v>
      </c>
      <c r="F334" t="inlineStr">
        <is>
          <t>KALMAR LÄN</t>
        </is>
      </c>
      <c r="G334" t="inlineStr">
        <is>
          <t>KALMAR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9535-2022</t>
        </is>
      </c>
      <c r="B335" t="inlineStr">
        <is>
          <t>avverkningsanmälan</t>
        </is>
      </c>
      <c r="C335" t="inlineStr">
        <is>
          <t>Föryngringsavverkning</t>
        </is>
      </c>
      <c r="D335" s="1" t="n">
        <v>44617</v>
      </c>
      <c r="E335" s="1" t="n">
        <v>46231</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48223-2023</t>
        </is>
      </c>
      <c r="B336" t="inlineStr">
        <is>
          <t>avverkningsanmälan</t>
        </is>
      </c>
      <c r="C336" t="inlineStr">
        <is>
          <t>Föryngringsavverkning</t>
        </is>
      </c>
      <c r="D336" s="1" t="n">
        <v>45205</v>
      </c>
      <c r="E336" s="1" t="n">
        <v>46231</v>
      </c>
      <c r="F336" t="inlineStr">
        <is>
          <t>KALMAR LÄN</t>
        </is>
      </c>
      <c r="G336" t="inlineStr">
        <is>
          <t>KALMAR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1653-2022</t>
        </is>
      </c>
      <c r="B337" t="inlineStr">
        <is>
          <t>avverkningsanmälan</t>
        </is>
      </c>
      <c r="C337" t="inlineStr">
        <is>
          <t>Föryngringsavverkning</t>
        </is>
      </c>
      <c r="D337" s="1" t="n">
        <v>44574</v>
      </c>
      <c r="E337" s="1" t="n">
        <v>46231</v>
      </c>
      <c r="F337" t="inlineStr">
        <is>
          <t>KALMAR LÄN</t>
        </is>
      </c>
      <c r="G337" t="inlineStr">
        <is>
          <t>KALMAR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10041-2025</t>
        </is>
      </c>
      <c r="B338" t="inlineStr">
        <is>
          <t>avverkningsanmälan</t>
        </is>
      </c>
      <c r="C338" t="inlineStr">
        <is>
          <t>Föryngringsavverkning</t>
        </is>
      </c>
      <c r="D338" s="1" t="n">
        <v>45719</v>
      </c>
      <c r="E338" s="1" t="n">
        <v>46231</v>
      </c>
      <c r="F338" t="inlineStr">
        <is>
          <t>KALMAR LÄN</t>
        </is>
      </c>
      <c r="G338" t="inlineStr">
        <is>
          <t>KALMAR</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45910-2025</t>
        </is>
      </c>
      <c r="B339" t="inlineStr">
        <is>
          <t>avverkningsanmälan</t>
        </is>
      </c>
      <c r="C339" t="inlineStr">
        <is>
          <t>Föryngringsavverkning</t>
        </is>
      </c>
      <c r="D339" s="1" t="n">
        <v>45923</v>
      </c>
      <c r="E339" s="1" t="n">
        <v>46231</v>
      </c>
      <c r="F339" t="inlineStr">
        <is>
          <t>KALMAR LÄN</t>
        </is>
      </c>
      <c r="G339" t="inlineStr">
        <is>
          <t>KALMAR</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57139-2023</t>
        </is>
      </c>
      <c r="B340" t="inlineStr">
        <is>
          <t>avverkningsanmälan</t>
        </is>
      </c>
      <c r="C340" t="inlineStr">
        <is>
          <t>Föryngringsavverkning</t>
        </is>
      </c>
      <c r="D340" s="1" t="n">
        <v>45239</v>
      </c>
      <c r="E340" s="1" t="n">
        <v>46231</v>
      </c>
      <c r="F340" t="inlineStr">
        <is>
          <t>KALMAR LÄN</t>
        </is>
      </c>
      <c r="G340" t="inlineStr">
        <is>
          <t>KALMAR</t>
        </is>
      </c>
      <c r="H340" t="inlineStr">
        <is>
          <t>Kyrkan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11183-2022</t>
        </is>
      </c>
      <c r="B341" t="inlineStr">
        <is>
          <t>avverkningsanmälan</t>
        </is>
      </c>
      <c r="C341" t="inlineStr">
        <is>
          <t>Föryngringsavverkning</t>
        </is>
      </c>
      <c r="D341" s="1" t="n">
        <v>44629</v>
      </c>
      <c r="E341" s="1" t="n">
        <v>46231</v>
      </c>
      <c r="F341" t="inlineStr">
        <is>
          <t>KALMAR LÄN</t>
        </is>
      </c>
      <c r="G341" t="inlineStr">
        <is>
          <t>KALMAR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46092-2025</t>
        </is>
      </c>
      <c r="B342" t="inlineStr">
        <is>
          <t>avverkningsanmälan</t>
        </is>
      </c>
      <c r="C342" t="inlineStr">
        <is>
          <t>Föryngringsavverkning</t>
        </is>
      </c>
      <c r="D342" s="1" t="n">
        <v>45924</v>
      </c>
      <c r="E342" s="1" t="n">
        <v>46231</v>
      </c>
      <c r="F342" t="inlineStr">
        <is>
          <t>KALMAR LÄN</t>
        </is>
      </c>
      <c r="G342" t="inlineStr">
        <is>
          <t>KALMAR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45691-2025</t>
        </is>
      </c>
      <c r="B343" t="inlineStr">
        <is>
          <t>avverkningsanmälan</t>
        </is>
      </c>
      <c r="C343" t="inlineStr">
        <is>
          <t>Föryngringsavverkning</t>
        </is>
      </c>
      <c r="D343" s="1" t="n">
        <v>45923</v>
      </c>
      <c r="E343" s="1" t="n">
        <v>46231</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42259-2023</t>
        </is>
      </c>
      <c r="B344" t="inlineStr">
        <is>
          <t>avverkningsanmälan</t>
        </is>
      </c>
      <c r="C344" t="inlineStr">
        <is>
          <t>Föryngringsavverkning</t>
        </is>
      </c>
      <c r="D344" s="1" t="n">
        <v>45180</v>
      </c>
      <c r="E344" s="1" t="n">
        <v>46231</v>
      </c>
      <c r="F344" t="inlineStr">
        <is>
          <t>KALMAR LÄN</t>
        </is>
      </c>
      <c r="G344" t="inlineStr">
        <is>
          <t>KALMAR</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37300-2024</t>
        </is>
      </c>
      <c r="B345" t="inlineStr">
        <is>
          <t>avverkningsanmälan</t>
        </is>
      </c>
      <c r="C345" t="inlineStr">
        <is>
          <t>Föryngringsavverkning</t>
        </is>
      </c>
      <c r="D345" s="1" t="n">
        <v>45540</v>
      </c>
      <c r="E345" s="1" t="n">
        <v>46231</v>
      </c>
      <c r="F345" t="inlineStr">
        <is>
          <t>KALMAR LÄN</t>
        </is>
      </c>
      <c r="G345" t="inlineStr">
        <is>
          <t>KALMAR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20182-2026</t>
        </is>
      </c>
      <c r="B346" t="inlineStr">
        <is>
          <t>avverkningsanmälan</t>
        </is>
      </c>
      <c r="C346" t="inlineStr">
        <is>
          <t>Föryngringsavverkning</t>
        </is>
      </c>
      <c r="D346" s="1" t="n">
        <v>46139</v>
      </c>
      <c r="E346" s="1" t="n">
        <v>46231</v>
      </c>
      <c r="F346" t="inlineStr">
        <is>
          <t>KALMAR LÄN</t>
        </is>
      </c>
      <c r="G346" t="inlineStr">
        <is>
          <t>KALMAR</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20203-2026</t>
        </is>
      </c>
      <c r="B347" t="inlineStr">
        <is>
          <t>avverkningsanmälan</t>
        </is>
      </c>
      <c r="C347" t="inlineStr">
        <is>
          <t>Föryngringsavverkning</t>
        </is>
      </c>
      <c r="D347" s="1" t="n">
        <v>46139</v>
      </c>
      <c r="E347" s="1" t="n">
        <v>46231</v>
      </c>
      <c r="F347" t="inlineStr">
        <is>
          <t>KALMAR LÄN</t>
        </is>
      </c>
      <c r="G347" t="inlineStr">
        <is>
          <t>KALMAR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61925-2021</t>
        </is>
      </c>
      <c r="B348" t="inlineStr">
        <is>
          <t>avverkningsanmälan</t>
        </is>
      </c>
      <c r="C348" t="inlineStr">
        <is>
          <t>Föryngringsavverkning</t>
        </is>
      </c>
      <c r="D348" s="1" t="n">
        <v>44502</v>
      </c>
      <c r="E348" s="1" t="n">
        <v>46231</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524-2022</t>
        </is>
      </c>
      <c r="B349" t="inlineStr">
        <is>
          <t>avverkningsanmälan</t>
        </is>
      </c>
      <c r="C349" t="inlineStr">
        <is>
          <t>Föryngringsavverkning</t>
        </is>
      </c>
      <c r="D349" s="1" t="n">
        <v>44566</v>
      </c>
      <c r="E349" s="1" t="n">
        <v>46231</v>
      </c>
      <c r="F349" t="inlineStr">
        <is>
          <t>KALMAR LÄN</t>
        </is>
      </c>
      <c r="G349" t="inlineStr">
        <is>
          <t>KALMAR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17067-2023</t>
        </is>
      </c>
      <c r="B350" t="inlineStr">
        <is>
          <t>avverkningsanmälan</t>
        </is>
      </c>
      <c r="C350" t="inlineStr">
        <is>
          <t>Föryngringsavverkning</t>
        </is>
      </c>
      <c r="D350" s="1" t="n">
        <v>45034</v>
      </c>
      <c r="E350" s="1" t="n">
        <v>46231</v>
      </c>
      <c r="F350" t="inlineStr">
        <is>
          <t>KALMAR LÄN</t>
        </is>
      </c>
      <c r="G350" t="inlineStr">
        <is>
          <t>KALMAR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54462-2023</t>
        </is>
      </c>
      <c r="B351" t="inlineStr">
        <is>
          <t>avverkningsanmälan</t>
        </is>
      </c>
      <c r="C351" t="inlineStr">
        <is>
          <t>Föryngringsavverkning</t>
        </is>
      </c>
      <c r="D351" s="1" t="n">
        <v>45233</v>
      </c>
      <c r="E351" s="1" t="n">
        <v>46231</v>
      </c>
      <c r="F351" t="inlineStr">
        <is>
          <t>KALMAR LÄN</t>
        </is>
      </c>
      <c r="G351" t="inlineStr">
        <is>
          <t>KALMAR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11614-2025</t>
        </is>
      </c>
      <c r="B352" t="inlineStr">
        <is>
          <t>avverkningsanmälan</t>
        </is>
      </c>
      <c r="C352" t="inlineStr">
        <is>
          <t>Föryngringsavverkning</t>
        </is>
      </c>
      <c r="D352" s="1" t="n">
        <v>45727</v>
      </c>
      <c r="E352" s="1" t="n">
        <v>46231</v>
      </c>
      <c r="F352" t="inlineStr">
        <is>
          <t>KALMAR LÄN</t>
        </is>
      </c>
      <c r="G352" t="inlineStr">
        <is>
          <t>KALMAR</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47417-2025</t>
        </is>
      </c>
      <c r="B353" t="inlineStr">
        <is>
          <t>avverkningsanmälan</t>
        </is>
      </c>
      <c r="C353" t="inlineStr">
        <is>
          <t>Föryngringsavverkning</t>
        </is>
      </c>
      <c r="D353" s="1" t="n">
        <v>45930</v>
      </c>
      <c r="E353" s="1" t="n">
        <v>46231</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45755-2022</t>
        </is>
      </c>
      <c r="B354" t="inlineStr">
        <is>
          <t>avverkningsanmälan</t>
        </is>
      </c>
      <c r="C354" t="inlineStr">
        <is>
          <t>Föryngringsavverkning</t>
        </is>
      </c>
      <c r="D354" s="1" t="n">
        <v>44846</v>
      </c>
      <c r="E354" s="1" t="n">
        <v>46231</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20188-2026</t>
        </is>
      </c>
      <c r="B355" t="inlineStr">
        <is>
          <t>avverkningsanmälan</t>
        </is>
      </c>
      <c r="C355" t="inlineStr">
        <is>
          <t>Föryngringsavverkning</t>
        </is>
      </c>
      <c r="D355" s="1" t="n">
        <v>46139</v>
      </c>
      <c r="E355" s="1" t="n">
        <v>46231</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1987-2023</t>
        </is>
      </c>
      <c r="B356" t="inlineStr">
        <is>
          <t>avverkningsanmälan</t>
        </is>
      </c>
      <c r="C356" t="inlineStr">
        <is>
          <t>Föryngringsavverkning</t>
        </is>
      </c>
      <c r="D356" s="1" t="n">
        <v>44939</v>
      </c>
      <c r="E356" s="1" t="n">
        <v>46231</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54551-2022</t>
        </is>
      </c>
      <c r="B357" t="inlineStr">
        <is>
          <t>avverkningsanmälan</t>
        </is>
      </c>
      <c r="C357" t="inlineStr">
        <is>
          <t>Föryngringsavverkning</t>
        </is>
      </c>
      <c r="D357" s="1" t="n">
        <v>44882</v>
      </c>
      <c r="E357" s="1" t="n">
        <v>46231</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44980-2021</t>
        </is>
      </c>
      <c r="B358" t="inlineStr">
        <is>
          <t>avverkningsanmälan</t>
        </is>
      </c>
      <c r="C358" t="inlineStr">
        <is>
          <t>Föryngringsavverkning</t>
        </is>
      </c>
      <c r="D358" s="1" t="n">
        <v>44438</v>
      </c>
      <c r="E358" s="1" t="n">
        <v>46231</v>
      </c>
      <c r="F358" t="inlineStr">
        <is>
          <t>KALMAR LÄN</t>
        </is>
      </c>
      <c r="G358" t="inlineStr">
        <is>
          <t>KALMAR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14247-2026</t>
        </is>
      </c>
      <c r="B359" t="inlineStr">
        <is>
          <t>avverkningsanmälan</t>
        </is>
      </c>
      <c r="C359" t="inlineStr">
        <is>
          <t>Föryngringsavverkning</t>
        </is>
      </c>
      <c r="D359" s="1" t="n">
        <v>46099</v>
      </c>
      <c r="E359" s="1" t="n">
        <v>46231</v>
      </c>
      <c r="F359" t="inlineStr">
        <is>
          <t>KALMAR LÄN</t>
        </is>
      </c>
      <c r="G359" t="inlineStr">
        <is>
          <t>KALMAR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26593-2023</t>
        </is>
      </c>
      <c r="B360" t="inlineStr">
        <is>
          <t>avverkningsanmälan</t>
        </is>
      </c>
      <c r="C360" t="inlineStr">
        <is>
          <t>Föryngringsavverkning</t>
        </is>
      </c>
      <c r="D360" s="1" t="n">
        <v>45092</v>
      </c>
      <c r="E360" s="1" t="n">
        <v>46231</v>
      </c>
      <c r="F360" t="inlineStr">
        <is>
          <t>KALMAR LÄN</t>
        </is>
      </c>
      <c r="G360" t="inlineStr">
        <is>
          <t>KALMAR</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47875-2025</t>
        </is>
      </c>
      <c r="B361" t="inlineStr">
        <is>
          <t>avverkningsanmälan</t>
        </is>
      </c>
      <c r="C361" t="inlineStr">
        <is>
          <t>Föryngringsavverkning</t>
        </is>
      </c>
      <c r="D361" s="1" t="n">
        <v>45932</v>
      </c>
      <c r="E361" s="1" t="n">
        <v>46231</v>
      </c>
      <c r="F361" t="inlineStr">
        <is>
          <t>KALMAR LÄN</t>
        </is>
      </c>
      <c r="G361" t="inlineStr">
        <is>
          <t>KALMAR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60754-2022</t>
        </is>
      </c>
      <c r="B362" t="inlineStr">
        <is>
          <t>avverkningsanmälan</t>
        </is>
      </c>
      <c r="C362" t="inlineStr">
        <is>
          <t>Föryngringsavverkning</t>
        </is>
      </c>
      <c r="D362" s="1" t="n">
        <v>44914</v>
      </c>
      <c r="E362" s="1" t="n">
        <v>46231</v>
      </c>
      <c r="F362" t="inlineStr">
        <is>
          <t>KALMAR LÄN</t>
        </is>
      </c>
      <c r="G362" t="inlineStr">
        <is>
          <t>KALMAR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28299-2023</t>
        </is>
      </c>
      <c r="B363" t="inlineStr">
        <is>
          <t>avverkningsanmälan</t>
        </is>
      </c>
      <c r="C363" t="inlineStr">
        <is>
          <t>Föryngringsavverkning</t>
        </is>
      </c>
      <c r="D363" s="1" t="n">
        <v>45099</v>
      </c>
      <c r="E363" s="1" t="n">
        <v>46231</v>
      </c>
      <c r="F363" t="inlineStr">
        <is>
          <t>KALMAR LÄN</t>
        </is>
      </c>
      <c r="G363" t="inlineStr">
        <is>
          <t>KALMAR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28974-2023</t>
        </is>
      </c>
      <c r="B364" t="inlineStr">
        <is>
          <t>avverkningsanmälan</t>
        </is>
      </c>
      <c r="C364" t="inlineStr">
        <is>
          <t>Föryngringsavverkning</t>
        </is>
      </c>
      <c r="D364" s="1" t="n">
        <v>45104</v>
      </c>
      <c r="E364" s="1" t="n">
        <v>46231</v>
      </c>
      <c r="F364" t="inlineStr">
        <is>
          <t>KALMAR LÄN</t>
        </is>
      </c>
      <c r="G364" t="inlineStr">
        <is>
          <t>KALMAR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28978-2023</t>
        </is>
      </c>
      <c r="B365" t="inlineStr">
        <is>
          <t>avverkningsanmälan</t>
        </is>
      </c>
      <c r="C365" t="inlineStr">
        <is>
          <t>Föryngringsavverkning</t>
        </is>
      </c>
      <c r="D365" s="1" t="n">
        <v>45104</v>
      </c>
      <c r="E365" s="1" t="n">
        <v>46231</v>
      </c>
      <c r="F365" t="inlineStr">
        <is>
          <t>KALMAR LÄN</t>
        </is>
      </c>
      <c r="G365" t="inlineStr">
        <is>
          <t>KALMAR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28985-2023</t>
        </is>
      </c>
      <c r="B366" t="inlineStr">
        <is>
          <t>avverkningsanmälan</t>
        </is>
      </c>
      <c r="C366" t="inlineStr">
        <is>
          <t>Föryngringsavverkning</t>
        </is>
      </c>
      <c r="D366" s="1" t="n">
        <v>45104</v>
      </c>
      <c r="E366" s="1" t="n">
        <v>46231</v>
      </c>
      <c r="F366" t="inlineStr">
        <is>
          <t>KALMAR LÄN</t>
        </is>
      </c>
      <c r="G366" t="inlineStr">
        <is>
          <t>KALMAR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62456-2022</t>
        </is>
      </c>
      <c r="B367" t="inlineStr">
        <is>
          <t>avverkningsanmälan</t>
        </is>
      </c>
      <c r="C367" t="inlineStr">
        <is>
          <t>Föryngringsavverkning</t>
        </is>
      </c>
      <c r="D367" s="1" t="n">
        <v>44924</v>
      </c>
      <c r="E367" s="1" t="n">
        <v>46231</v>
      </c>
      <c r="F367" t="inlineStr">
        <is>
          <t>KALMAR LÄN</t>
        </is>
      </c>
      <c r="G367" t="inlineStr">
        <is>
          <t>KALMAR</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31806-2023</t>
        </is>
      </c>
      <c r="B368" t="inlineStr">
        <is>
          <t>avverkningsanmälan</t>
        </is>
      </c>
      <c r="C368" t="inlineStr">
        <is>
          <t>Föryngringsavverkning</t>
        </is>
      </c>
      <c r="D368" s="1" t="n">
        <v>45118</v>
      </c>
      <c r="E368" s="1" t="n">
        <v>46231</v>
      </c>
      <c r="F368" t="inlineStr">
        <is>
          <t>KALMAR LÄN</t>
        </is>
      </c>
      <c r="G368" t="inlineStr">
        <is>
          <t>KALMAR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25214-2023</t>
        </is>
      </c>
      <c r="B369" t="inlineStr">
        <is>
          <t>avverkningsanmälan</t>
        </is>
      </c>
      <c r="C369" t="inlineStr">
        <is>
          <t>Föryngringsavverkning</t>
        </is>
      </c>
      <c r="D369" s="1" t="n">
        <v>45086</v>
      </c>
      <c r="E369" s="1" t="n">
        <v>46231</v>
      </c>
      <c r="F369" t="inlineStr">
        <is>
          <t>KALMAR LÄN</t>
        </is>
      </c>
      <c r="G369" t="inlineStr">
        <is>
          <t>KALMAR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47387-2023</t>
        </is>
      </c>
      <c r="B370" t="inlineStr">
        <is>
          <t>avverkningsanmälan</t>
        </is>
      </c>
      <c r="C370" t="inlineStr">
        <is>
          <t>Föryngringsavverkning</t>
        </is>
      </c>
      <c r="D370" s="1" t="n">
        <v>45202</v>
      </c>
      <c r="E370" s="1" t="n">
        <v>46231</v>
      </c>
      <c r="F370" t="inlineStr">
        <is>
          <t>KALMAR LÄN</t>
        </is>
      </c>
      <c r="G370" t="inlineStr">
        <is>
          <t>KALMAR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22314-2026</t>
        </is>
      </c>
      <c r="B371" t="inlineStr">
        <is>
          <t>avverkningsanmälan</t>
        </is>
      </c>
      <c r="C371" t="inlineStr">
        <is>
          <t>Föryngringsavverkning</t>
        </is>
      </c>
      <c r="D371" s="1" t="n">
        <v>46154</v>
      </c>
      <c r="E371" s="1" t="n">
        <v>46231</v>
      </c>
      <c r="F371" t="inlineStr">
        <is>
          <t>KALMAR LÄN</t>
        </is>
      </c>
      <c r="G371" t="inlineStr">
        <is>
          <t>KALMAR</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13415-2024</t>
        </is>
      </c>
      <c r="B372" t="inlineStr">
        <is>
          <t>avverkningsanmälan</t>
        </is>
      </c>
      <c r="C372" t="inlineStr">
        <is>
          <t>Föryngringsavverkning</t>
        </is>
      </c>
      <c r="D372" s="1" t="n">
        <v>45387</v>
      </c>
      <c r="E372" s="1" t="n">
        <v>46231</v>
      </c>
      <c r="F372" t="inlineStr">
        <is>
          <t>KALMAR LÄN</t>
        </is>
      </c>
      <c r="G372" t="inlineStr">
        <is>
          <t>KALMAR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13419-2024</t>
        </is>
      </c>
      <c r="B373" t="inlineStr">
        <is>
          <t>avverkningsanmälan</t>
        </is>
      </c>
      <c r="C373" t="inlineStr">
        <is>
          <t>Föryngringsavverkning</t>
        </is>
      </c>
      <c r="D373" s="1" t="n">
        <v>45387</v>
      </c>
      <c r="E373" s="1" t="n">
        <v>46231</v>
      </c>
      <c r="F373" t="inlineStr">
        <is>
          <t>KALMAR LÄN</t>
        </is>
      </c>
      <c r="G373" t="inlineStr">
        <is>
          <t>KALMAR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28292-2023</t>
        </is>
      </c>
      <c r="B374" t="inlineStr">
        <is>
          <t>avverkningsanmälan</t>
        </is>
      </c>
      <c r="C374" t="inlineStr">
        <is>
          <t>Föryngringsavverkning</t>
        </is>
      </c>
      <c r="D374" s="1" t="n">
        <v>45099</v>
      </c>
      <c r="E374" s="1" t="n">
        <v>46231</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56010-2021</t>
        </is>
      </c>
      <c r="B375" t="inlineStr">
        <is>
          <t>avverkningsanmälan</t>
        </is>
      </c>
      <c r="C375" t="inlineStr">
        <is>
          <t>Föryngringsavverkning</t>
        </is>
      </c>
      <c r="D375" s="1" t="n">
        <v>44477</v>
      </c>
      <c r="E375" s="1" t="n">
        <v>46231</v>
      </c>
      <c r="F375" t="inlineStr">
        <is>
          <t>KALMAR LÄN</t>
        </is>
      </c>
      <c r="G375" t="inlineStr">
        <is>
          <t>KALMAR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49521-2025</t>
        </is>
      </c>
      <c r="B376" t="inlineStr">
        <is>
          <t>avverkningsanmälan</t>
        </is>
      </c>
      <c r="C376" t="inlineStr">
        <is>
          <t>Föryngringsavverkning</t>
        </is>
      </c>
      <c r="D376" s="1" t="n">
        <v>45939</v>
      </c>
      <c r="E376" s="1" t="n">
        <v>46231</v>
      </c>
      <c r="F376" t="inlineStr">
        <is>
          <t>KALMAR LÄN</t>
        </is>
      </c>
      <c r="G376" t="inlineStr">
        <is>
          <t>KALMAR</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22598-2026</t>
        </is>
      </c>
      <c r="B377" t="inlineStr">
        <is>
          <t>avverkningsanmälan</t>
        </is>
      </c>
      <c r="C377" t="inlineStr">
        <is>
          <t>Föryngringsavverkning</t>
        </is>
      </c>
      <c r="D377" s="1" t="n">
        <v>46155</v>
      </c>
      <c r="E377" s="1" t="n">
        <v>46231</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28444-2026</t>
        </is>
      </c>
      <c r="B378" t="inlineStr">
        <is>
          <t>avverkningsanmälan</t>
        </is>
      </c>
      <c r="C378" t="inlineStr">
        <is>
          <t>Föryngringsavverkning</t>
        </is>
      </c>
      <c r="D378" s="1" t="n">
        <v>46197</v>
      </c>
      <c r="E378" s="1" t="n">
        <v>46231</v>
      </c>
      <c r="F378" t="inlineStr">
        <is>
          <t>KALMAR LÄN</t>
        </is>
      </c>
      <c r="G378" t="inlineStr">
        <is>
          <t>KALMAR</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72194-2021</t>
        </is>
      </c>
      <c r="B379" t="inlineStr">
        <is>
          <t>avverkningsanmälan</t>
        </is>
      </c>
      <c r="C379" t="inlineStr">
        <is>
          <t>Föryngringsavverkning</t>
        </is>
      </c>
      <c r="D379" s="1" t="n">
        <v>44544</v>
      </c>
      <c r="E379" s="1" t="n">
        <v>46231</v>
      </c>
      <c r="F379" t="inlineStr">
        <is>
          <t>KALMAR LÄN</t>
        </is>
      </c>
      <c r="G379" t="inlineStr">
        <is>
          <t>KALMAR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22544-2026</t>
        </is>
      </c>
      <c r="B380" t="inlineStr">
        <is>
          <t>avverkningsanmälan</t>
        </is>
      </c>
      <c r="C380" t="inlineStr">
        <is>
          <t>Föryngringsavverkning</t>
        </is>
      </c>
      <c r="D380" s="1" t="n">
        <v>46155</v>
      </c>
      <c r="E380" s="1" t="n">
        <v>46231</v>
      </c>
      <c r="F380" t="inlineStr">
        <is>
          <t>KALMAR LÄN</t>
        </is>
      </c>
      <c r="G380" t="inlineStr">
        <is>
          <t>KALMAR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28746-2026</t>
        </is>
      </c>
      <c r="B381" t="inlineStr">
        <is>
          <t>avverkningsanmälan</t>
        </is>
      </c>
      <c r="C381" t="inlineStr">
        <is>
          <t>Föryngringsavverkning</t>
        </is>
      </c>
      <c r="D381" s="1" t="n">
        <v>46198</v>
      </c>
      <c r="E381" s="1" t="n">
        <v>46231</v>
      </c>
      <c r="F381" t="inlineStr">
        <is>
          <t>KALMAR LÄN</t>
        </is>
      </c>
      <c r="G381" t="inlineStr">
        <is>
          <t>KALMAR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37973-2024</t>
        </is>
      </c>
      <c r="B382" t="inlineStr">
        <is>
          <t>avverkningsanmälan</t>
        </is>
      </c>
      <c r="C382" t="inlineStr">
        <is>
          <t>Föryngringsavverkning</t>
        </is>
      </c>
      <c r="D382" s="1" t="n">
        <v>45544</v>
      </c>
      <c r="E382" s="1" t="n">
        <v>46231</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22593-2026</t>
        </is>
      </c>
      <c r="B383" t="inlineStr">
        <is>
          <t>avverkningsanmälan</t>
        </is>
      </c>
      <c r="C383" t="inlineStr">
        <is>
          <t>Föryngringsavverkning</t>
        </is>
      </c>
      <c r="D383" s="1" t="n">
        <v>46155</v>
      </c>
      <c r="E383" s="1" t="n">
        <v>46231</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22935-2026</t>
        </is>
      </c>
      <c r="B384" t="inlineStr">
        <is>
          <t>avverkningsanmälan</t>
        </is>
      </c>
      <c r="C384" t="inlineStr">
        <is>
          <t>Föryngringsavverkning</t>
        </is>
      </c>
      <c r="D384" s="1" t="n">
        <v>46160</v>
      </c>
      <c r="E384" s="1" t="n">
        <v>46231</v>
      </c>
      <c r="F384" t="inlineStr">
        <is>
          <t>KALMAR LÄN</t>
        </is>
      </c>
      <c r="G384" t="inlineStr">
        <is>
          <t>KALMAR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28932-2023</t>
        </is>
      </c>
      <c r="B385" t="inlineStr">
        <is>
          <t>avverkningsanmälan</t>
        </is>
      </c>
      <c r="C385" t="inlineStr">
        <is>
          <t>Föryngringsavverkning</t>
        </is>
      </c>
      <c r="D385" s="1" t="n">
        <v>45104</v>
      </c>
      <c r="E385" s="1" t="n">
        <v>46231</v>
      </c>
      <c r="F385" t="inlineStr">
        <is>
          <t>KALMAR LÄN</t>
        </is>
      </c>
      <c r="G385" t="inlineStr">
        <is>
          <t>KALMAR</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10930-2023</t>
        </is>
      </c>
      <c r="B386" t="inlineStr">
        <is>
          <t>avverkningsanmälan</t>
        </is>
      </c>
      <c r="C386" t="inlineStr">
        <is>
          <t>Föryngringsavverkning</t>
        </is>
      </c>
      <c r="D386" s="1" t="n">
        <v>44991</v>
      </c>
      <c r="E386" s="1" t="n">
        <v>46231</v>
      </c>
      <c r="F386" t="inlineStr">
        <is>
          <t>KALMAR LÄN</t>
        </is>
      </c>
      <c r="G386" t="inlineStr">
        <is>
          <t>KALMAR</t>
        </is>
      </c>
      <c r="I386" t="n">
        <v>9.6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29160-2026</t>
        </is>
      </c>
      <c r="B387" t="inlineStr">
        <is>
          <t>avverkningsanmälan</t>
        </is>
      </c>
      <c r="C387" t="inlineStr">
        <is>
          <t>Föryngringsavverkning</t>
        </is>
      </c>
      <c r="D387" s="1" t="n">
        <v>46202</v>
      </c>
      <c r="E387" s="1" t="n">
        <v>46231</v>
      </c>
      <c r="F387" t="inlineStr">
        <is>
          <t>KALMAR LÄN</t>
        </is>
      </c>
      <c r="G387" t="inlineStr">
        <is>
          <t>KALMAR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54806-2023</t>
        </is>
      </c>
      <c r="B388" t="inlineStr">
        <is>
          <t>avverkningsanmälan</t>
        </is>
      </c>
      <c r="C388" t="inlineStr">
        <is>
          <t>Föryngringsavverkning</t>
        </is>
      </c>
      <c r="D388" s="1" t="n">
        <v>45236</v>
      </c>
      <c r="E388" s="1" t="n">
        <v>46231</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22933-2026</t>
        </is>
      </c>
      <c r="B389" t="inlineStr">
        <is>
          <t>avverkningsanmälan</t>
        </is>
      </c>
      <c r="C389" t="inlineStr">
        <is>
          <t>Föryngringsavverkning</t>
        </is>
      </c>
      <c r="D389" s="1" t="n">
        <v>46160</v>
      </c>
      <c r="E389" s="1" t="n">
        <v>46231</v>
      </c>
      <c r="F389" t="inlineStr">
        <is>
          <t>KALMAR LÄN</t>
        </is>
      </c>
      <c r="G389" t="inlineStr">
        <is>
          <t>KALMAR</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41941-2025</t>
        </is>
      </c>
      <c r="B390" t="inlineStr">
        <is>
          <t>avverkningsanmälan</t>
        </is>
      </c>
      <c r="C390" t="inlineStr">
        <is>
          <t>Avverkning för annat ändamål</t>
        </is>
      </c>
      <c r="D390" s="1" t="n">
        <v>45903</v>
      </c>
      <c r="E390" s="1" t="n">
        <v>46231</v>
      </c>
      <c r="F390" t="inlineStr">
        <is>
          <t>KALMAR LÄN</t>
        </is>
      </c>
      <c r="G390" t="inlineStr">
        <is>
          <t>KALMAR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28924-2026</t>
        </is>
      </c>
      <c r="B391" t="inlineStr">
        <is>
          <t>avverkningsanmälan</t>
        </is>
      </c>
      <c r="C391" t="inlineStr">
        <is>
          <t>Föryngringsavverkning</t>
        </is>
      </c>
      <c r="D391" s="1" t="n">
        <v>46199</v>
      </c>
      <c r="E391" s="1" t="n">
        <v>46231</v>
      </c>
      <c r="F391" t="inlineStr">
        <is>
          <t>KALMAR LÄN</t>
        </is>
      </c>
      <c r="G391" t="inlineStr">
        <is>
          <t>KALMAR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60638-2023</t>
        </is>
      </c>
      <c r="B392" t="inlineStr">
        <is>
          <t>avverkningsanmälan</t>
        </is>
      </c>
      <c r="C392" t="inlineStr">
        <is>
          <t>Föryngringsavverkning</t>
        </is>
      </c>
      <c r="D392" s="1" t="n">
        <v>45260</v>
      </c>
      <c r="E392" s="1" t="n">
        <v>46231</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8845-2025</t>
        </is>
      </c>
      <c r="B393" t="inlineStr">
        <is>
          <t>avverkningsanmälan</t>
        </is>
      </c>
      <c r="C393" t="inlineStr">
        <is>
          <t>Föryngringsavverkning</t>
        </is>
      </c>
      <c r="D393" s="1" t="n">
        <v>45713</v>
      </c>
      <c r="E393" s="1" t="n">
        <v>46231</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51100-2025</t>
        </is>
      </c>
      <c r="B394" t="inlineStr">
        <is>
          <t>avverkningsanmälan</t>
        </is>
      </c>
      <c r="C394" t="inlineStr">
        <is>
          <t>Föryngringsavverkning</t>
        </is>
      </c>
      <c r="D394" s="1" t="n">
        <v>45947</v>
      </c>
      <c r="E394" s="1" t="n">
        <v>46231</v>
      </c>
      <c r="F394" t="inlineStr">
        <is>
          <t>KALMAR LÄN</t>
        </is>
      </c>
      <c r="G394" t="inlineStr">
        <is>
          <t>KALMAR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23486-2023</t>
        </is>
      </c>
      <c r="B395" t="inlineStr">
        <is>
          <t>avverkningsanmälan</t>
        </is>
      </c>
      <c r="C395" t="inlineStr">
        <is>
          <t>Föryngringsavverkning</t>
        </is>
      </c>
      <c r="D395" s="1" t="n">
        <v>45076</v>
      </c>
      <c r="E395" s="1" t="n">
        <v>46231</v>
      </c>
      <c r="F395" t="inlineStr">
        <is>
          <t>KALMAR LÄN</t>
        </is>
      </c>
      <c r="G395" t="inlineStr">
        <is>
          <t>KALMAR</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29489-2026</t>
        </is>
      </c>
      <c r="B396" t="inlineStr">
        <is>
          <t>avverkningsanmälan</t>
        </is>
      </c>
      <c r="C396" t="inlineStr">
        <is>
          <t>Föryngringsavverkning</t>
        </is>
      </c>
      <c r="D396" s="1" t="n">
        <v>46203</v>
      </c>
      <c r="E396" s="1" t="n">
        <v>46231</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15179-2024</t>
        </is>
      </c>
      <c r="B397" t="inlineStr">
        <is>
          <t>avverkningsanmälan</t>
        </is>
      </c>
      <c r="C397" t="inlineStr">
        <is>
          <t>Föryngringsavverkning</t>
        </is>
      </c>
      <c r="D397" s="1" t="n">
        <v>45400</v>
      </c>
      <c r="E397" s="1" t="n">
        <v>46231</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23297-2026</t>
        </is>
      </c>
      <c r="B398" t="inlineStr">
        <is>
          <t>avverkningsanmälan</t>
        </is>
      </c>
      <c r="C398" t="inlineStr">
        <is>
          <t>Föryngringsavverkning</t>
        </is>
      </c>
      <c r="D398" s="1" t="n">
        <v>46162</v>
      </c>
      <c r="E398" s="1" t="n">
        <v>46231</v>
      </c>
      <c r="F398" t="inlineStr">
        <is>
          <t>KALMAR LÄN</t>
        </is>
      </c>
      <c r="G398" t="inlineStr">
        <is>
          <t>KALMAR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23300-2026</t>
        </is>
      </c>
      <c r="B399" t="inlineStr">
        <is>
          <t>avverkningsanmälan</t>
        </is>
      </c>
      <c r="C399" t="inlineStr">
        <is>
          <t>Föryngringsavverkning</t>
        </is>
      </c>
      <c r="D399" s="1" t="n">
        <v>46162</v>
      </c>
      <c r="E399" s="1" t="n">
        <v>46231</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23304-2026</t>
        </is>
      </c>
      <c r="B400" t="inlineStr">
        <is>
          <t>avverkningsanmälan</t>
        </is>
      </c>
      <c r="C400" t="inlineStr">
        <is>
          <t>Föryngringsavverkning</t>
        </is>
      </c>
      <c r="D400" s="1" t="n">
        <v>46162</v>
      </c>
      <c r="E400" s="1" t="n">
        <v>46231</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30140-2023</t>
        </is>
      </c>
      <c r="B401" t="inlineStr">
        <is>
          <t>avverkningsanmälan</t>
        </is>
      </c>
      <c r="C401" t="inlineStr">
        <is>
          <t>Föryngringsavverkning</t>
        </is>
      </c>
      <c r="D401" s="1" t="n">
        <v>45110</v>
      </c>
      <c r="E401" s="1" t="n">
        <v>46231</v>
      </c>
      <c r="F401" t="inlineStr">
        <is>
          <t>KALMAR LÄN</t>
        </is>
      </c>
      <c r="G401" t="inlineStr">
        <is>
          <t>KALMAR</t>
        </is>
      </c>
      <c r="H401" t="inlineStr">
        <is>
          <t>Sveaskog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5949-2024</t>
        </is>
      </c>
      <c r="B402" t="inlineStr">
        <is>
          <t>avverkningsanmälan</t>
        </is>
      </c>
      <c r="C402" t="inlineStr">
        <is>
          <t>Föryngringsavverkning</t>
        </is>
      </c>
      <c r="D402" s="1" t="n">
        <v>45335</v>
      </c>
      <c r="E402" s="1" t="n">
        <v>46231</v>
      </c>
      <c r="F402" t="inlineStr">
        <is>
          <t>KALMAR LÄN</t>
        </is>
      </c>
      <c r="G402" t="inlineStr">
        <is>
          <t>KALMAR</t>
        </is>
      </c>
      <c r="H402" t="inlineStr">
        <is>
          <t>Kyrkan</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71843-2021</t>
        </is>
      </c>
      <c r="B403" t="inlineStr">
        <is>
          <t>avverkningsanmälan</t>
        </is>
      </c>
      <c r="C403" t="inlineStr">
        <is>
          <t>Föryngringsavverkning</t>
        </is>
      </c>
      <c r="D403" s="1" t="n">
        <v>44543</v>
      </c>
      <c r="E403" s="1" t="n">
        <v>46231</v>
      </c>
      <c r="F403" t="inlineStr">
        <is>
          <t>KALMAR LÄN</t>
        </is>
      </c>
      <c r="G403" t="inlineStr">
        <is>
          <t>KALMAR</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54748-2024</t>
        </is>
      </c>
      <c r="B404" t="inlineStr">
        <is>
          <t>avverkningsanmälan</t>
        </is>
      </c>
      <c r="C404" t="inlineStr">
        <is>
          <t>Avverkning för att bevara och utveckla /försöksver</t>
        </is>
      </c>
      <c r="D404" s="1" t="n">
        <v>45618</v>
      </c>
      <c r="E404" s="1" t="n">
        <v>46231</v>
      </c>
      <c r="F404" t="inlineStr">
        <is>
          <t>KALMAR LÄN</t>
        </is>
      </c>
      <c r="G404" t="inlineStr">
        <is>
          <t>KALMAR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41068-2023</t>
        </is>
      </c>
      <c r="B405" t="inlineStr">
        <is>
          <t>avverkningsanmälan</t>
        </is>
      </c>
      <c r="C405" t="inlineStr">
        <is>
          <t>Föryngringsavverkning</t>
        </is>
      </c>
      <c r="D405" s="1" t="n">
        <v>45173</v>
      </c>
      <c r="E405" s="1" t="n">
        <v>46231</v>
      </c>
      <c r="F405" t="inlineStr">
        <is>
          <t>KALMAR LÄN</t>
        </is>
      </c>
      <c r="G405" t="inlineStr">
        <is>
          <t>KALMAR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36126-2024</t>
        </is>
      </c>
      <c r="B406" t="inlineStr">
        <is>
          <t>avverkningsanmälan</t>
        </is>
      </c>
      <c r="C406" t="inlineStr">
        <is>
          <t>Föryngringsavverkning</t>
        </is>
      </c>
      <c r="D406" s="1" t="n">
        <v>45534</v>
      </c>
      <c r="E406" s="1" t="n">
        <v>46231</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37312-2024</t>
        </is>
      </c>
      <c r="B407" t="inlineStr">
        <is>
          <t>avverkningsanmälan</t>
        </is>
      </c>
      <c r="C407" t="inlineStr">
        <is>
          <t>Föryngringsavverkning</t>
        </is>
      </c>
      <c r="D407" s="1" t="n">
        <v>45540</v>
      </c>
      <c r="E407" s="1" t="n">
        <v>46231</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39453-2022</t>
        </is>
      </c>
      <c r="B408" t="inlineStr">
        <is>
          <t>avverkningsanmälan</t>
        </is>
      </c>
      <c r="C408" t="inlineStr">
        <is>
          <t>Föryngringsavverkning</t>
        </is>
      </c>
      <c r="D408" s="1" t="n">
        <v>44818</v>
      </c>
      <c r="E408" s="1" t="n">
        <v>46231</v>
      </c>
      <c r="F408" t="inlineStr">
        <is>
          <t>KALMAR LÄN</t>
        </is>
      </c>
      <c r="G408" t="inlineStr">
        <is>
          <t>KALMAR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45896-2023</t>
        </is>
      </c>
      <c r="B409" t="inlineStr">
        <is>
          <t>avverkningsanmälan</t>
        </is>
      </c>
      <c r="C409" t="inlineStr">
        <is>
          <t>Föryngringsavverkning</t>
        </is>
      </c>
      <c r="D409" s="1" t="n">
        <v>45195</v>
      </c>
      <c r="E409" s="1" t="n">
        <v>46231</v>
      </c>
      <c r="F409" t="inlineStr">
        <is>
          <t>KALMAR LÄN</t>
        </is>
      </c>
      <c r="G409" t="inlineStr">
        <is>
          <t>KALMAR</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31371-2023</t>
        </is>
      </c>
      <c r="B410" t="inlineStr">
        <is>
          <t>avverkningsanmälan</t>
        </is>
      </c>
      <c r="C410" t="inlineStr">
        <is>
          <t>Föryngringsavverkning</t>
        </is>
      </c>
      <c r="D410" s="1" t="n">
        <v>45114</v>
      </c>
      <c r="E410" s="1" t="n">
        <v>46231</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48242-2023</t>
        </is>
      </c>
      <c r="B411" t="inlineStr">
        <is>
          <t>avverkningsanmälan</t>
        </is>
      </c>
      <c r="C411" t="inlineStr">
        <is>
          <t>Föryngringsavverkning</t>
        </is>
      </c>
      <c r="D411" s="1" t="n">
        <v>45205</v>
      </c>
      <c r="E411" s="1" t="n">
        <v>46231</v>
      </c>
      <c r="F411" t="inlineStr">
        <is>
          <t>KALMAR LÄN</t>
        </is>
      </c>
      <c r="G411" t="inlineStr">
        <is>
          <t>KALMAR</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35515-2024</t>
        </is>
      </c>
      <c r="B412" t="inlineStr">
        <is>
          <t>avverkningsanmälan</t>
        </is>
      </c>
      <c r="C412" t="inlineStr">
        <is>
          <t>Föryngringsavverkning</t>
        </is>
      </c>
      <c r="D412" s="1" t="n">
        <v>45531</v>
      </c>
      <c r="E412" s="1" t="n">
        <v>46231</v>
      </c>
      <c r="F412" t="inlineStr">
        <is>
          <t>KALMAR LÄN</t>
        </is>
      </c>
      <c r="G412" t="inlineStr">
        <is>
          <t>KALMAR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25699-2023</t>
        </is>
      </c>
      <c r="B413" t="inlineStr">
        <is>
          <t>avverkningsanmälan</t>
        </is>
      </c>
      <c r="C413" t="inlineStr">
        <is>
          <t>Föryngringsavverkning</t>
        </is>
      </c>
      <c r="D413" s="1" t="n">
        <v>45090</v>
      </c>
      <c r="E413" s="1" t="n">
        <v>46231</v>
      </c>
      <c r="F413" t="inlineStr">
        <is>
          <t>KALMAR LÄN</t>
        </is>
      </c>
      <c r="G413" t="inlineStr">
        <is>
          <t>KALMAR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25700-2023</t>
        </is>
      </c>
      <c r="B414" t="inlineStr">
        <is>
          <t>avverkningsanmälan</t>
        </is>
      </c>
      <c r="C414" t="inlineStr">
        <is>
          <t>Föryngringsavverkning</t>
        </is>
      </c>
      <c r="D414" s="1" t="n">
        <v>45090</v>
      </c>
      <c r="E414" s="1" t="n">
        <v>46231</v>
      </c>
      <c r="F414" t="inlineStr">
        <is>
          <t>KALMAR LÄN</t>
        </is>
      </c>
      <c r="G414" t="inlineStr">
        <is>
          <t>KALMAR</t>
        </is>
      </c>
      <c r="I414" t="n">
        <v>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54747-2024</t>
        </is>
      </c>
      <c r="B415" t="inlineStr">
        <is>
          <t>avverkningsanmälan</t>
        </is>
      </c>
      <c r="C415" t="inlineStr">
        <is>
          <t>Avverkning för att bevara och utveckla /försöksver</t>
        </is>
      </c>
      <c r="D415" s="1" t="n">
        <v>45618</v>
      </c>
      <c r="E415" s="1" t="n">
        <v>46231</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44547-2023</t>
        </is>
      </c>
      <c r="B416" t="inlineStr">
        <is>
          <t>avverkningsanmälan</t>
        </is>
      </c>
      <c r="C416" t="inlineStr">
        <is>
          <t>Föryngringsavverkning</t>
        </is>
      </c>
      <c r="D416" s="1" t="n">
        <v>45189</v>
      </c>
      <c r="E416" s="1" t="n">
        <v>46231</v>
      </c>
      <c r="F416" t="inlineStr">
        <is>
          <t>KALMAR LÄN</t>
        </is>
      </c>
      <c r="G416" t="inlineStr">
        <is>
          <t>KALMAR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13416-2022</t>
        </is>
      </c>
      <c r="B417" t="inlineStr">
        <is>
          <t>avverkningsanmälan</t>
        </is>
      </c>
      <c r="C417" t="inlineStr">
        <is>
          <t>Föryngringsavverkning</t>
        </is>
      </c>
      <c r="D417" s="1" t="n">
        <v>44645</v>
      </c>
      <c r="E417" s="1" t="n">
        <v>46231</v>
      </c>
      <c r="F417" t="inlineStr">
        <is>
          <t>KALMAR LÄN</t>
        </is>
      </c>
      <c r="G417" t="inlineStr">
        <is>
          <t>KALMAR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30781-2026</t>
        </is>
      </c>
      <c r="B418" t="inlineStr">
        <is>
          <t>avverkningsanmälan</t>
        </is>
      </c>
      <c r="C418" t="inlineStr">
        <is>
          <t>Föryngringsavverkning</t>
        </is>
      </c>
      <c r="D418" s="1" t="n">
        <v>46212</v>
      </c>
      <c r="E418" s="1" t="n">
        <v>46231</v>
      </c>
      <c r="F418" t="inlineStr">
        <is>
          <t>KALMAR LÄN</t>
        </is>
      </c>
      <c r="G418" t="inlineStr">
        <is>
          <t>KALMAR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56921-2024</t>
        </is>
      </c>
      <c r="B419" t="inlineStr">
        <is>
          <t>avverkningsanmälan</t>
        </is>
      </c>
      <c r="C419" t="inlineStr">
        <is>
          <t>Föryngringsavverkning</t>
        </is>
      </c>
      <c r="D419" s="1" t="n">
        <v>45628</v>
      </c>
      <c r="E419" s="1" t="n">
        <v>46231</v>
      </c>
      <c r="F419" t="inlineStr">
        <is>
          <t>KALMAR LÄN</t>
        </is>
      </c>
      <c r="G419" t="inlineStr">
        <is>
          <t>KALMAR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4448-2024</t>
        </is>
      </c>
      <c r="B420" t="inlineStr">
        <is>
          <t>avverkningsanmälan</t>
        </is>
      </c>
      <c r="C420" t="inlineStr">
        <is>
          <t>Föryngringsavverkning</t>
        </is>
      </c>
      <c r="D420" s="1" t="n">
        <v>45327</v>
      </c>
      <c r="E420" s="1" t="n">
        <v>46231</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7324-2024</t>
        </is>
      </c>
      <c r="B421" t="inlineStr">
        <is>
          <t>avverkningsanmälan</t>
        </is>
      </c>
      <c r="C421" t="inlineStr">
        <is>
          <t>Föryngringsavverkning</t>
        </is>
      </c>
      <c r="D421" s="1" t="n">
        <v>45345</v>
      </c>
      <c r="E421" s="1" t="n">
        <v>46231</v>
      </c>
      <c r="F421" t="inlineStr">
        <is>
          <t>KALMAR LÄN</t>
        </is>
      </c>
      <c r="G421" t="inlineStr">
        <is>
          <t>KALMAR</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14264-2026</t>
        </is>
      </c>
      <c r="B422" t="inlineStr">
        <is>
          <t>avverkningsanmälan</t>
        </is>
      </c>
      <c r="C422" t="inlineStr">
        <is>
          <t>Föryngringsavverkning</t>
        </is>
      </c>
      <c r="D422" s="1" t="n">
        <v>46099</v>
      </c>
      <c r="E422" s="1" t="n">
        <v>46231</v>
      </c>
      <c r="F422" t="inlineStr">
        <is>
          <t>KALMAR LÄN</t>
        </is>
      </c>
      <c r="G422" t="inlineStr">
        <is>
          <t>KALMAR</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16149-2023</t>
        </is>
      </c>
      <c r="B423" t="inlineStr">
        <is>
          <t>avverkningsanmälan</t>
        </is>
      </c>
      <c r="C423" t="inlineStr">
        <is>
          <t>Föryngringsavverkning</t>
        </is>
      </c>
      <c r="D423" s="1" t="n">
        <v>45027</v>
      </c>
      <c r="E423" s="1" t="n">
        <v>46231</v>
      </c>
      <c r="F423" t="inlineStr">
        <is>
          <t>KALMAR LÄN</t>
        </is>
      </c>
      <c r="G423" t="inlineStr">
        <is>
          <t>KALMAR</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39843-2022</t>
        </is>
      </c>
      <c r="B424" t="inlineStr">
        <is>
          <t>avverkningsanmälan</t>
        </is>
      </c>
      <c r="C424" t="inlineStr">
        <is>
          <t>Föryngringsavverkning</t>
        </is>
      </c>
      <c r="D424" s="1" t="n">
        <v>44819</v>
      </c>
      <c r="E424" s="1" t="n">
        <v>46231</v>
      </c>
      <c r="F424" t="inlineStr">
        <is>
          <t>KALMAR LÄN</t>
        </is>
      </c>
      <c r="G424" t="inlineStr">
        <is>
          <t>KALMAR</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22303-2023</t>
        </is>
      </c>
      <c r="B425" t="inlineStr">
        <is>
          <t>avverkningsanmälan</t>
        </is>
      </c>
      <c r="C425" t="inlineStr">
        <is>
          <t>Avverkning för annat ändamål</t>
        </is>
      </c>
      <c r="D425" s="1" t="n">
        <v>45070</v>
      </c>
      <c r="E425" s="1" t="n">
        <v>46231</v>
      </c>
      <c r="F425" t="inlineStr">
        <is>
          <t>KALMAR LÄN</t>
        </is>
      </c>
      <c r="G425" t="inlineStr">
        <is>
          <t>KALMAR</t>
        </is>
      </c>
      <c r="H425" t="inlineStr">
        <is>
          <t>Sveaskog</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43038-2023</t>
        </is>
      </c>
      <c r="B426" t="inlineStr">
        <is>
          <t>avverkningsanmälan</t>
        </is>
      </c>
      <c r="C426" t="inlineStr">
        <is>
          <t>Föryngringsavverkning</t>
        </is>
      </c>
      <c r="D426" s="1" t="n">
        <v>45182</v>
      </c>
      <c r="E426" s="1" t="n">
        <v>46231</v>
      </c>
      <c r="F426" t="inlineStr">
        <is>
          <t>KALMAR LÄN</t>
        </is>
      </c>
      <c r="G426" t="inlineStr">
        <is>
          <t>KALMAR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14726-2022</t>
        </is>
      </c>
      <c r="B427" t="inlineStr">
        <is>
          <t>avverkningsanmälan</t>
        </is>
      </c>
      <c r="C427" t="inlineStr">
        <is>
          <t>Föryngringsavverkning</t>
        </is>
      </c>
      <c r="D427" s="1" t="n">
        <v>44656</v>
      </c>
      <c r="E427" s="1" t="n">
        <v>46231</v>
      </c>
      <c r="F427" t="inlineStr">
        <is>
          <t>KALMAR LÄN</t>
        </is>
      </c>
      <c r="G427" t="inlineStr">
        <is>
          <t>KALMAR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15658-2024</t>
        </is>
      </c>
      <c r="B428" t="inlineStr">
        <is>
          <t>avverkningsanmälan</t>
        </is>
      </c>
      <c r="C428" t="inlineStr">
        <is>
          <t>Föryngringsavverkning</t>
        </is>
      </c>
      <c r="D428" s="1" t="n">
        <v>45402</v>
      </c>
      <c r="E428" s="1" t="n">
        <v>46231</v>
      </c>
      <c r="F428" t="inlineStr">
        <is>
          <t>KALMAR LÄN</t>
        </is>
      </c>
      <c r="G428" t="inlineStr">
        <is>
          <t>KALMAR</t>
        </is>
      </c>
      <c r="H428" t="inlineStr">
        <is>
          <t>Kyrkan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16119-2024</t>
        </is>
      </c>
      <c r="B429" t="inlineStr">
        <is>
          <t>avverkningsanmälan</t>
        </is>
      </c>
      <c r="C429" t="inlineStr">
        <is>
          <t>Föryngringsavverkning</t>
        </is>
      </c>
      <c r="D429" s="1" t="n">
        <v>45406</v>
      </c>
      <c r="E429" s="1" t="n">
        <v>46231</v>
      </c>
      <c r="F429" t="inlineStr">
        <is>
          <t>KALMAR LÄN</t>
        </is>
      </c>
      <c r="G429" t="inlineStr">
        <is>
          <t>KALMAR</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25562-2026</t>
        </is>
      </c>
      <c r="B430" t="inlineStr">
        <is>
          <t>avverkningsanmälan</t>
        </is>
      </c>
      <c r="C430" t="inlineStr">
        <is>
          <t>Föryngringsavverkning</t>
        </is>
      </c>
      <c r="D430" s="1" t="n">
        <v>46177</v>
      </c>
      <c r="E430" s="1" t="n">
        <v>46231</v>
      </c>
      <c r="F430" t="inlineStr">
        <is>
          <t>KALMAR LÄN</t>
        </is>
      </c>
      <c r="G430" t="inlineStr">
        <is>
          <t>KALMAR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42953-2023</t>
        </is>
      </c>
      <c r="B431" t="inlineStr">
        <is>
          <t>avverkningsanmälan</t>
        </is>
      </c>
      <c r="C431" t="inlineStr">
        <is>
          <t>Föryngringsavverkning</t>
        </is>
      </c>
      <c r="D431" s="1" t="n">
        <v>45182</v>
      </c>
      <c r="E431" s="1" t="n">
        <v>46231</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9869-2024</t>
        </is>
      </c>
      <c r="B432" t="inlineStr">
        <is>
          <t>avverkningsanmälan</t>
        </is>
      </c>
      <c r="C432" t="inlineStr">
        <is>
          <t>Föryngringsavverkning</t>
        </is>
      </c>
      <c r="D432" s="1" t="n">
        <v>45363</v>
      </c>
      <c r="E432" s="1" t="n">
        <v>46231</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44172-2025</t>
        </is>
      </c>
      <c r="B433" t="inlineStr">
        <is>
          <t>avverkningsanmälan</t>
        </is>
      </c>
      <c r="C433" t="inlineStr">
        <is>
          <t>Föryngringsavverkning</t>
        </is>
      </c>
      <c r="D433" s="1" t="n">
        <v>45915</v>
      </c>
      <c r="E433" s="1" t="n">
        <v>46231</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57417-2024</t>
        </is>
      </c>
      <c r="B434" t="inlineStr">
        <is>
          <t>avverkningsanmälan</t>
        </is>
      </c>
      <c r="C434" t="inlineStr">
        <is>
          <t>Föryngringsavverkning</t>
        </is>
      </c>
      <c r="D434" s="1" t="n">
        <v>45629</v>
      </c>
      <c r="E434" s="1" t="n">
        <v>46231</v>
      </c>
      <c r="F434" t="inlineStr">
        <is>
          <t>KALMAR LÄN</t>
        </is>
      </c>
      <c r="G434" t="inlineStr">
        <is>
          <t>KALMAR</t>
        </is>
      </c>
      <c r="I434" t="n">
        <v>13.5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36016-2023</t>
        </is>
      </c>
      <c r="B435" t="inlineStr">
        <is>
          <t>avverkningsanmälan</t>
        </is>
      </c>
      <c r="C435" t="inlineStr">
        <is>
          <t>Föryngringsavverkning</t>
        </is>
      </c>
      <c r="D435" s="1" t="n">
        <v>45149</v>
      </c>
      <c r="E435" s="1" t="n">
        <v>46231</v>
      </c>
      <c r="F435" t="inlineStr">
        <is>
          <t>KALMAR LÄN</t>
        </is>
      </c>
      <c r="G435" t="inlineStr">
        <is>
          <t>KALMAR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36018-2023</t>
        </is>
      </c>
      <c r="B436" t="inlineStr">
        <is>
          <t>avverkningsanmälan</t>
        </is>
      </c>
      <c r="C436" t="inlineStr">
        <is>
          <t>Föryngringsavverkning</t>
        </is>
      </c>
      <c r="D436" s="1" t="n">
        <v>45149</v>
      </c>
      <c r="E436" s="1" t="n">
        <v>46231</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7345-2025</t>
        </is>
      </c>
      <c r="B437" t="inlineStr">
        <is>
          <t>avverkningsanmälan</t>
        </is>
      </c>
      <c r="C437" t="inlineStr">
        <is>
          <t>Föryngringsavverkning</t>
        </is>
      </c>
      <c r="D437" s="1" t="n">
        <v>45703</v>
      </c>
      <c r="E437" s="1" t="n">
        <v>46231</v>
      </c>
      <c r="F437" t="inlineStr">
        <is>
          <t>KALMAR LÄN</t>
        </is>
      </c>
      <c r="G437" t="inlineStr">
        <is>
          <t>KALMAR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32955-2023</t>
        </is>
      </c>
      <c r="B438" t="inlineStr">
        <is>
          <t>avverkningsanmälan</t>
        </is>
      </c>
      <c r="C438" t="inlineStr">
        <is>
          <t>Föryngringsavverkning</t>
        </is>
      </c>
      <c r="D438" s="1" t="n">
        <v>45125</v>
      </c>
      <c r="E438" s="1" t="n">
        <v>46231</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36846-2023</t>
        </is>
      </c>
      <c r="B439" t="inlineStr">
        <is>
          <t>avverkningsanmälan</t>
        </is>
      </c>
      <c r="C439" t="inlineStr">
        <is>
          <t>Föryngringsavverkning</t>
        </is>
      </c>
      <c r="D439" s="1" t="n">
        <v>45154</v>
      </c>
      <c r="E439" s="1" t="n">
        <v>46231</v>
      </c>
      <c r="F439" t="inlineStr">
        <is>
          <t>KALMAR LÄN</t>
        </is>
      </c>
      <c r="G439" t="inlineStr">
        <is>
          <t>KALMAR</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44765-2024</t>
        </is>
      </c>
      <c r="B440" t="inlineStr">
        <is>
          <t>avverkningsanmälan</t>
        </is>
      </c>
      <c r="C440" t="inlineStr">
        <is>
          <t>Föryngringsavverkning</t>
        </is>
      </c>
      <c r="D440" s="1" t="n">
        <v>45574</v>
      </c>
      <c r="E440" s="1" t="n">
        <v>46231</v>
      </c>
      <c r="F440" t="inlineStr">
        <is>
          <t>KALMAR LÄN</t>
        </is>
      </c>
      <c r="G440" t="inlineStr">
        <is>
          <t>KALMAR</t>
        </is>
      </c>
      <c r="H440" t="inlineStr">
        <is>
          <t>Kommuner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25749-2026</t>
        </is>
      </c>
      <c r="B441" t="inlineStr">
        <is>
          <t>avverkningsanmälan</t>
        </is>
      </c>
      <c r="C441" t="inlineStr">
        <is>
          <t>Föryngringsavverkning</t>
        </is>
      </c>
      <c r="D441" s="1" t="n">
        <v>46178</v>
      </c>
      <c r="E441" s="1" t="n">
        <v>46231</v>
      </c>
      <c r="F441" t="inlineStr">
        <is>
          <t>KALMAR LÄN</t>
        </is>
      </c>
      <c r="G441" t="inlineStr">
        <is>
          <t>KALMAR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56994-2025</t>
        </is>
      </c>
      <c r="B442" t="inlineStr">
        <is>
          <t>avverkningsanmälan</t>
        </is>
      </c>
      <c r="C442" t="inlineStr">
        <is>
          <t>Föryngringsavverkning</t>
        </is>
      </c>
      <c r="D442" s="1" t="n">
        <v>45978</v>
      </c>
      <c r="E442" s="1" t="n">
        <v>46231</v>
      </c>
      <c r="F442" t="inlineStr">
        <is>
          <t>KALMAR LÄN</t>
        </is>
      </c>
      <c r="G442" t="inlineStr">
        <is>
          <t>KALMAR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31507-2026</t>
        </is>
      </c>
      <c r="B443" t="inlineStr">
        <is>
          <t>avverkningsanmälan</t>
        </is>
      </c>
      <c r="C443" t="inlineStr">
        <is>
          <t>Föryngringsavverkning</t>
        </is>
      </c>
      <c r="D443" s="1" t="n">
        <v>46223</v>
      </c>
      <c r="E443" s="1" t="n">
        <v>46231</v>
      </c>
      <c r="F443" t="inlineStr">
        <is>
          <t>KALMAR LÄN</t>
        </is>
      </c>
      <c r="G443" t="inlineStr">
        <is>
          <t>KALMAR</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47399-2025</t>
        </is>
      </c>
      <c r="B444" t="inlineStr">
        <is>
          <t>avverkningsanmälan</t>
        </is>
      </c>
      <c r="C444" t="inlineStr">
        <is>
          <t>Föryngringsavverkning</t>
        </is>
      </c>
      <c r="D444" s="1" t="n">
        <v>45930</v>
      </c>
      <c r="E444" s="1" t="n">
        <v>46231</v>
      </c>
      <c r="F444" t="inlineStr">
        <is>
          <t>KALMAR LÄN</t>
        </is>
      </c>
      <c r="G444" t="inlineStr">
        <is>
          <t>KALMAR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54450-2023</t>
        </is>
      </c>
      <c r="B445" t="inlineStr">
        <is>
          <t>avverkningsanmälan</t>
        </is>
      </c>
      <c r="C445" t="inlineStr">
        <is>
          <t>Föryngringsavverkning</t>
        </is>
      </c>
      <c r="D445" s="1" t="n">
        <v>45233</v>
      </c>
      <c r="E445" s="1" t="n">
        <v>46231</v>
      </c>
      <c r="F445" t="inlineStr">
        <is>
          <t>KALMAR LÄN</t>
        </is>
      </c>
      <c r="G445" t="inlineStr">
        <is>
          <t>KALMAR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54468-2023</t>
        </is>
      </c>
      <c r="B446" t="inlineStr">
        <is>
          <t>avverkningsanmälan</t>
        </is>
      </c>
      <c r="C446" t="inlineStr">
        <is>
          <t>Föryngringsavverkning</t>
        </is>
      </c>
      <c r="D446" s="1" t="n">
        <v>45233</v>
      </c>
      <c r="E446" s="1" t="n">
        <v>46231</v>
      </c>
      <c r="F446" t="inlineStr">
        <is>
          <t>KALMAR LÄN</t>
        </is>
      </c>
      <c r="G446" t="inlineStr">
        <is>
          <t>KALMAR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46778-2023</t>
        </is>
      </c>
      <c r="B447" t="inlineStr">
        <is>
          <t>avverkningsanmälan</t>
        </is>
      </c>
      <c r="C447" t="inlineStr">
        <is>
          <t>Föryngringsavverkning</t>
        </is>
      </c>
      <c r="D447" s="1" t="n">
        <v>45198</v>
      </c>
      <c r="E447" s="1" t="n">
        <v>46231</v>
      </c>
      <c r="F447" t="inlineStr">
        <is>
          <t>KALMAR LÄN</t>
        </is>
      </c>
      <c r="G447" t="inlineStr">
        <is>
          <t>KALMAR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27166-2026</t>
        </is>
      </c>
      <c r="B448" t="inlineStr">
        <is>
          <t>avverkningsanmälan</t>
        </is>
      </c>
      <c r="C448" t="inlineStr">
        <is>
          <t>Föryngringsavverkning</t>
        </is>
      </c>
      <c r="D448" s="1" t="n">
        <v>46188</v>
      </c>
      <c r="E448" s="1" t="n">
        <v>46231</v>
      </c>
      <c r="F448" t="inlineStr">
        <is>
          <t>KALMAR LÄN</t>
        </is>
      </c>
      <c r="G448" t="inlineStr">
        <is>
          <t>KALMAR</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44549-2023</t>
        </is>
      </c>
      <c r="B449" t="inlineStr">
        <is>
          <t>avverkningsanmälan</t>
        </is>
      </c>
      <c r="C449" t="inlineStr">
        <is>
          <t>Föryngringsavverkning</t>
        </is>
      </c>
      <c r="D449" s="1" t="n">
        <v>45189</v>
      </c>
      <c r="E449" s="1" t="n">
        <v>46231</v>
      </c>
      <c r="F449" t="inlineStr">
        <is>
          <t>KALMAR LÄN</t>
        </is>
      </c>
      <c r="G449" t="inlineStr">
        <is>
          <t>KALMAR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26815-2026</t>
        </is>
      </c>
      <c r="B450" t="inlineStr">
        <is>
          <t>avverkningsanmälan</t>
        </is>
      </c>
      <c r="C450" t="inlineStr">
        <is>
          <t>Föryngringsavverkning</t>
        </is>
      </c>
      <c r="D450" s="1" t="n">
        <v>46185</v>
      </c>
      <c r="E450" s="1" t="n">
        <v>46231</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4241-2025</t>
        </is>
      </c>
      <c r="B451" t="inlineStr">
        <is>
          <t>avverkningsanmälan</t>
        </is>
      </c>
      <c r="C451" t="inlineStr">
        <is>
          <t>Avverkning för annat ändamål</t>
        </is>
      </c>
      <c r="D451" s="1" t="n">
        <v>45685</v>
      </c>
      <c r="E451" s="1" t="n">
        <v>46231</v>
      </c>
      <c r="F451" t="inlineStr">
        <is>
          <t>KALMAR LÄN</t>
        </is>
      </c>
      <c r="G451" t="inlineStr">
        <is>
          <t>KALMAR</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40180-2023</t>
        </is>
      </c>
      <c r="B452" t="inlineStr">
        <is>
          <t>avverkningsanmälan</t>
        </is>
      </c>
      <c r="C452" t="inlineStr">
        <is>
          <t>Föryngringsavverkning</t>
        </is>
      </c>
      <c r="D452" s="1" t="n">
        <v>45169</v>
      </c>
      <c r="E452" s="1" t="n">
        <v>46231</v>
      </c>
      <c r="F452" t="inlineStr">
        <is>
          <t>KALMAR LÄN</t>
        </is>
      </c>
      <c r="G452" t="inlineStr">
        <is>
          <t>KALMAR</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49324-2022</t>
        </is>
      </c>
      <c r="B453" t="inlineStr">
        <is>
          <t>avverkningsanmälan</t>
        </is>
      </c>
      <c r="C453" t="inlineStr">
        <is>
          <t>Föryngringsavverkning</t>
        </is>
      </c>
      <c r="D453" s="1" t="n">
        <v>44861</v>
      </c>
      <c r="E453" s="1" t="n">
        <v>46231</v>
      </c>
      <c r="F453" t="inlineStr">
        <is>
          <t>KALMAR LÄN</t>
        </is>
      </c>
      <c r="G453" t="inlineStr">
        <is>
          <t>KALMAR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32190-2023</t>
        </is>
      </c>
      <c r="B454" t="inlineStr">
        <is>
          <t>avverkningsanmälan</t>
        </is>
      </c>
      <c r="C454" t="inlineStr">
        <is>
          <t>Föryngringsavverkning</t>
        </is>
      </c>
      <c r="D454" s="1" t="n">
        <v>45119</v>
      </c>
      <c r="E454" s="1" t="n">
        <v>46231</v>
      </c>
      <c r="F454" t="inlineStr">
        <is>
          <t>KALMAR LÄN</t>
        </is>
      </c>
      <c r="G454" t="inlineStr">
        <is>
          <t>KALMAR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36560-2023</t>
        </is>
      </c>
      <c r="B455" t="inlineStr">
        <is>
          <t>avverkningsanmälan</t>
        </is>
      </c>
      <c r="C455" t="inlineStr">
        <is>
          <t>Föryngringsavverkning</t>
        </is>
      </c>
      <c r="D455" s="1" t="n">
        <v>45153</v>
      </c>
      <c r="E455" s="1" t="n">
        <v>46231</v>
      </c>
      <c r="F455" t="inlineStr">
        <is>
          <t>KALMAR LÄN</t>
        </is>
      </c>
      <c r="G455" t="inlineStr">
        <is>
          <t>KALMAR</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54480-2023</t>
        </is>
      </c>
      <c r="B456" t="inlineStr">
        <is>
          <t>avverkningsanmälan</t>
        </is>
      </c>
      <c r="C456" t="inlineStr">
        <is>
          <t>Föryngringsavverkning</t>
        </is>
      </c>
      <c r="D456" s="1" t="n">
        <v>45233</v>
      </c>
      <c r="E456" s="1" t="n">
        <v>46231</v>
      </c>
      <c r="F456" t="inlineStr">
        <is>
          <t>KALMAR LÄN</t>
        </is>
      </c>
      <c r="G456" t="inlineStr">
        <is>
          <t>KALMAR</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41071-2023</t>
        </is>
      </c>
      <c r="B457" t="inlineStr">
        <is>
          <t>avverkningsanmälan</t>
        </is>
      </c>
      <c r="C457" t="inlineStr">
        <is>
          <t>Föryngringsavverkning</t>
        </is>
      </c>
      <c r="D457" s="1" t="n">
        <v>45173</v>
      </c>
      <c r="E457" s="1" t="n">
        <v>46231</v>
      </c>
      <c r="F457" t="inlineStr">
        <is>
          <t>KALMAR LÄN</t>
        </is>
      </c>
      <c r="G457" t="inlineStr">
        <is>
          <t>KALMAR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41080-2023</t>
        </is>
      </c>
      <c r="B458" t="inlineStr">
        <is>
          <t>avverkningsanmälan</t>
        </is>
      </c>
      <c r="C458" t="inlineStr">
        <is>
          <t>Föryngringsavverkning</t>
        </is>
      </c>
      <c r="D458" s="1" t="n">
        <v>45173</v>
      </c>
      <c r="E458" s="1" t="n">
        <v>46231</v>
      </c>
      <c r="F458" t="inlineStr">
        <is>
          <t>KALMAR LÄN</t>
        </is>
      </c>
      <c r="G458" t="inlineStr">
        <is>
          <t>KALMAR</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57617-2023</t>
        </is>
      </c>
      <c r="B459" t="inlineStr">
        <is>
          <t>avverkningsanmälan</t>
        </is>
      </c>
      <c r="C459" t="inlineStr">
        <is>
          <t>Föryngringsavverkning</t>
        </is>
      </c>
      <c r="D459" s="1" t="n">
        <v>45246</v>
      </c>
      <c r="E459" s="1" t="n">
        <v>46231</v>
      </c>
      <c r="F459" t="inlineStr">
        <is>
          <t>KALMAR LÄN</t>
        </is>
      </c>
      <c r="G459" t="inlineStr">
        <is>
          <t>KALMAR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32500-2022</t>
        </is>
      </c>
      <c r="B460" t="inlineStr">
        <is>
          <t>avverkningsanmälan</t>
        </is>
      </c>
      <c r="C460" t="inlineStr">
        <is>
          <t>Föryngringsavverkning</t>
        </is>
      </c>
      <c r="D460" s="1" t="n">
        <v>44782</v>
      </c>
      <c r="E460" s="1" t="n">
        <v>46231</v>
      </c>
      <c r="F460" t="inlineStr">
        <is>
          <t>KALMAR LÄN</t>
        </is>
      </c>
      <c r="G460" t="inlineStr">
        <is>
          <t>KALMAR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58971-2023</t>
        </is>
      </c>
      <c r="B461" t="inlineStr">
        <is>
          <t>avverkningsanmälan</t>
        </is>
      </c>
      <c r="C461" t="inlineStr">
        <is>
          <t>Föryngringsavverkning</t>
        </is>
      </c>
      <c r="D461" s="1" t="n">
        <v>45252</v>
      </c>
      <c r="E461" s="1" t="n">
        <v>46231</v>
      </c>
      <c r="F461" t="inlineStr">
        <is>
          <t>KALMAR LÄN</t>
        </is>
      </c>
      <c r="G461" t="inlineStr">
        <is>
          <t>KALMAR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40583-2023</t>
        </is>
      </c>
      <c r="B462" t="inlineStr">
        <is>
          <t>avverkningsanmälan</t>
        </is>
      </c>
      <c r="C462" t="inlineStr">
        <is>
          <t>Föryngringsavverkning</t>
        </is>
      </c>
      <c r="D462" s="1" t="n">
        <v>45170</v>
      </c>
      <c r="E462" s="1" t="n">
        <v>46231</v>
      </c>
      <c r="F462" t="inlineStr">
        <is>
          <t>KALMAR LÄN</t>
        </is>
      </c>
      <c r="G462" t="inlineStr">
        <is>
          <t>KALMAR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7750-2023</t>
        </is>
      </c>
      <c r="B463" t="inlineStr">
        <is>
          <t>avverkningsanmälan</t>
        </is>
      </c>
      <c r="C463" t="inlineStr">
        <is>
          <t>Föryngringsavverkning</t>
        </is>
      </c>
      <c r="D463" s="1" t="n">
        <v>44973</v>
      </c>
      <c r="E463" s="1" t="n">
        <v>46231</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8700-2024</t>
        </is>
      </c>
      <c r="B464" t="inlineStr">
        <is>
          <t>avverkningsanmälan</t>
        </is>
      </c>
      <c r="C464" t="inlineStr">
        <is>
          <t>Föryngringsavverkning</t>
        </is>
      </c>
      <c r="D464" s="1" t="n">
        <v>45356</v>
      </c>
      <c r="E464" s="1" t="n">
        <v>46231</v>
      </c>
      <c r="F464" t="inlineStr">
        <is>
          <t>KALMAR LÄN</t>
        </is>
      </c>
      <c r="G464" t="inlineStr">
        <is>
          <t>KALMAR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46239-2022</t>
        </is>
      </c>
      <c r="B465" t="inlineStr">
        <is>
          <t>avverkningsanmälan</t>
        </is>
      </c>
      <c r="C465" t="inlineStr">
        <is>
          <t>Föryngringsavverkning</t>
        </is>
      </c>
      <c r="D465" s="1" t="n">
        <v>44847</v>
      </c>
      <c r="E465" s="1" t="n">
        <v>46231</v>
      </c>
      <c r="F465" t="inlineStr">
        <is>
          <t>KALMAR LÄN</t>
        </is>
      </c>
      <c r="G465" t="inlineStr">
        <is>
          <t>KALMAR</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23664-2024</t>
        </is>
      </c>
      <c r="B466" t="inlineStr">
        <is>
          <t>avverkningsanmälan</t>
        </is>
      </c>
      <c r="C466" t="inlineStr">
        <is>
          <t>Föryngringsavverkning</t>
        </is>
      </c>
      <c r="D466" s="1" t="n">
        <v>45454</v>
      </c>
      <c r="E466" s="1" t="n">
        <v>46231</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18804-2022</t>
        </is>
      </c>
      <c r="B467" t="inlineStr">
        <is>
          <t>avverkningsanmälan</t>
        </is>
      </c>
      <c r="C467" t="inlineStr">
        <is>
          <t>Föryngringsavverkning</t>
        </is>
      </c>
      <c r="D467" s="1" t="n">
        <v>44690</v>
      </c>
      <c r="E467" s="1" t="n">
        <v>46231</v>
      </c>
      <c r="F467" t="inlineStr">
        <is>
          <t>KALMAR LÄN</t>
        </is>
      </c>
      <c r="G467" t="inlineStr">
        <is>
          <t>KALMAR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7812-2024</t>
        </is>
      </c>
      <c r="B468" t="inlineStr">
        <is>
          <t>avverkningsanmälan</t>
        </is>
      </c>
      <c r="C468" t="inlineStr">
        <is>
          <t>Föryngringsavverkning</t>
        </is>
      </c>
      <c r="D468" s="1" t="n">
        <v>45349</v>
      </c>
      <c r="E468" s="1" t="n">
        <v>46231</v>
      </c>
      <c r="F468" t="inlineStr">
        <is>
          <t>KALMAR LÄN</t>
        </is>
      </c>
      <c r="G468" t="inlineStr">
        <is>
          <t>KALMAR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49757-2023</t>
        </is>
      </c>
      <c r="B469" t="inlineStr">
        <is>
          <t>avverkningsanmälan</t>
        </is>
      </c>
      <c r="C469" t="inlineStr">
        <is>
          <t>Föryngringsavverkning</t>
        </is>
      </c>
      <c r="D469" s="1" t="n">
        <v>45212</v>
      </c>
      <c r="E469" s="1" t="n">
        <v>46231</v>
      </c>
      <c r="F469" t="inlineStr">
        <is>
          <t>KALMAR LÄN</t>
        </is>
      </c>
      <c r="G469" t="inlineStr">
        <is>
          <t>KALMAR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13734-2023</t>
        </is>
      </c>
      <c r="B470" t="inlineStr">
        <is>
          <t>avverkningsanmälan</t>
        </is>
      </c>
      <c r="C470" t="inlineStr">
        <is>
          <t>Föryngringsavverkning</t>
        </is>
      </c>
      <c r="D470" s="1" t="n">
        <v>45007</v>
      </c>
      <c r="E470" s="1" t="n">
        <v>46231</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13735-2023</t>
        </is>
      </c>
      <c r="B471" t="inlineStr">
        <is>
          <t>avverkningsanmälan</t>
        </is>
      </c>
      <c r="C471" t="inlineStr">
        <is>
          <t>Föryngringsavverkning</t>
        </is>
      </c>
      <c r="D471" s="1" t="n">
        <v>45007</v>
      </c>
      <c r="E471" s="1" t="n">
        <v>46231</v>
      </c>
      <c r="F471" t="inlineStr">
        <is>
          <t>KALMAR LÄN</t>
        </is>
      </c>
      <c r="G471" t="inlineStr">
        <is>
          <t>KALMAR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62025-2023</t>
        </is>
      </c>
      <c r="B472" t="inlineStr">
        <is>
          <t>avverkningsanmälan</t>
        </is>
      </c>
      <c r="C472" t="inlineStr">
        <is>
          <t>Föryngringsavverkning</t>
        </is>
      </c>
      <c r="D472" s="1" t="n">
        <v>45266</v>
      </c>
      <c r="E472" s="1" t="n">
        <v>46231</v>
      </c>
      <c r="F472" t="inlineStr">
        <is>
          <t>KALMAR LÄN</t>
        </is>
      </c>
      <c r="G472" t="inlineStr">
        <is>
          <t>KALMAR</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4025-2024</t>
        </is>
      </c>
      <c r="B473" t="inlineStr">
        <is>
          <t>avverkningsanmälan</t>
        </is>
      </c>
      <c r="C473" t="inlineStr">
        <is>
          <t>Föryngringsavverkning</t>
        </is>
      </c>
      <c r="D473" s="1" t="n">
        <v>45323</v>
      </c>
      <c r="E473" s="1" t="n">
        <v>46231</v>
      </c>
      <c r="F473" t="inlineStr">
        <is>
          <t>KALMAR LÄN</t>
        </is>
      </c>
      <c r="G473" t="inlineStr">
        <is>
          <t>KALMAR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5930-2023</t>
        </is>
      </c>
      <c r="B474" t="inlineStr">
        <is>
          <t>avverkningsanmälan</t>
        </is>
      </c>
      <c r="C474" t="inlineStr">
        <is>
          <t>Föryngringsavverkning</t>
        </is>
      </c>
      <c r="D474" s="1" t="n">
        <v>44963</v>
      </c>
      <c r="E474" s="1" t="n">
        <v>46231</v>
      </c>
      <c r="F474" t="inlineStr">
        <is>
          <t>KALMAR LÄN</t>
        </is>
      </c>
      <c r="G474" t="inlineStr">
        <is>
          <t>KALMAR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5941-2023</t>
        </is>
      </c>
      <c r="B475" t="inlineStr">
        <is>
          <t>avverkningsanmälan</t>
        </is>
      </c>
      <c r="C475" t="inlineStr">
        <is>
          <t>Föryngringsavverkning</t>
        </is>
      </c>
      <c r="D475" s="1" t="n">
        <v>44963</v>
      </c>
      <c r="E475" s="1" t="n">
        <v>46231</v>
      </c>
      <c r="F475" t="inlineStr">
        <is>
          <t>KALMAR LÄN</t>
        </is>
      </c>
      <c r="G475" t="inlineStr">
        <is>
          <t>KALMAR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62731-2025</t>
        </is>
      </c>
      <c r="B476" t="inlineStr">
        <is>
          <t>avverkningsanmälan</t>
        </is>
      </c>
      <c r="C476" t="inlineStr">
        <is>
          <t>Föryngringsavverkning</t>
        </is>
      </c>
      <c r="D476" s="1" t="n">
        <v>46008</v>
      </c>
      <c r="E476" s="1" t="n">
        <v>46231</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62732-2025</t>
        </is>
      </c>
      <c r="B477" t="inlineStr">
        <is>
          <t>avverkningsanmälan</t>
        </is>
      </c>
      <c r="C477" t="inlineStr">
        <is>
          <t>Föryngringsavverkning</t>
        </is>
      </c>
      <c r="D477" s="1" t="n">
        <v>46008</v>
      </c>
      <c r="E477" s="1" t="n">
        <v>46231</v>
      </c>
      <c r="F477" t="inlineStr">
        <is>
          <t>KALMAR LÄN</t>
        </is>
      </c>
      <c r="G477" t="inlineStr">
        <is>
          <t>KALMAR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63313-2025</t>
        </is>
      </c>
      <c r="B478" t="inlineStr">
        <is>
          <t>avverkningsanmälan</t>
        </is>
      </c>
      <c r="C478" t="inlineStr">
        <is>
          <t>Föryngringsavverkning</t>
        </is>
      </c>
      <c r="D478" s="1" t="n">
        <v>46010</v>
      </c>
      <c r="E478" s="1" t="n">
        <v>46231</v>
      </c>
      <c r="F478" t="inlineStr">
        <is>
          <t>KALMAR LÄN</t>
        </is>
      </c>
      <c r="G478" t="inlineStr">
        <is>
          <t>KALMAR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26984-2023</t>
        </is>
      </c>
      <c r="B479" t="inlineStr">
        <is>
          <t>avverkningsanmälan</t>
        </is>
      </c>
      <c r="C479" t="inlineStr">
        <is>
          <t>Föryngringsavverkning</t>
        </is>
      </c>
      <c r="D479" s="1" t="n">
        <v>45093</v>
      </c>
      <c r="E479" s="1" t="n">
        <v>46231</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53389-2023</t>
        </is>
      </c>
      <c r="B480" t="inlineStr">
        <is>
          <t>avverkningsanmälan</t>
        </is>
      </c>
      <c r="C480" t="inlineStr">
        <is>
          <t>Föryngringsavverkning</t>
        </is>
      </c>
      <c r="D480" s="1" t="n">
        <v>45229</v>
      </c>
      <c r="E480" s="1" t="n">
        <v>46231</v>
      </c>
      <c r="F480" t="inlineStr">
        <is>
          <t>KALMAR LÄN</t>
        </is>
      </c>
      <c r="G480" t="inlineStr">
        <is>
          <t>KALMAR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63498-2025</t>
        </is>
      </c>
      <c r="B481" t="inlineStr">
        <is>
          <t>avverkningsanmälan</t>
        </is>
      </c>
      <c r="C481" t="inlineStr">
        <is>
          <t>Föryngringsavverkning</t>
        </is>
      </c>
      <c r="D481" s="1" t="n">
        <v>46013</v>
      </c>
      <c r="E481" s="1" t="n">
        <v>46231</v>
      </c>
      <c r="F481" t="inlineStr">
        <is>
          <t>KALMAR LÄN</t>
        </is>
      </c>
      <c r="G481" t="inlineStr">
        <is>
          <t>KALMAR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49878-2022</t>
        </is>
      </c>
      <c r="B482" t="inlineStr">
        <is>
          <t>avverkningsanmälan</t>
        </is>
      </c>
      <c r="C482" t="inlineStr">
        <is>
          <t>Föryngringsavverkning</t>
        </is>
      </c>
      <c r="D482" s="1" t="n">
        <v>44864</v>
      </c>
      <c r="E482" s="1" t="n">
        <v>46231</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1903-2024</t>
        </is>
      </c>
      <c r="B483" t="inlineStr">
        <is>
          <t>avverkningsanmälan</t>
        </is>
      </c>
      <c r="C483" t="inlineStr">
        <is>
          <t>Föryngringsavverkning</t>
        </is>
      </c>
      <c r="D483" s="1" t="n">
        <v>45308</v>
      </c>
      <c r="E483" s="1" t="n">
        <v>46231</v>
      </c>
      <c r="F483" t="inlineStr">
        <is>
          <t>KALMAR LÄN</t>
        </is>
      </c>
      <c r="G483" t="inlineStr">
        <is>
          <t>KALMAR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49415-2024</t>
        </is>
      </c>
      <c r="B484" t="inlineStr">
        <is>
          <t>avverkningsanmälan</t>
        </is>
      </c>
      <c r="C484" t="inlineStr">
        <is>
          <t>Föryngringsavverkning</t>
        </is>
      </c>
      <c r="D484" s="1" t="n">
        <v>45595</v>
      </c>
      <c r="E484" s="1" t="n">
        <v>46231</v>
      </c>
      <c r="F484" t="inlineStr">
        <is>
          <t>KALMAR LÄN</t>
        </is>
      </c>
      <c r="G484" t="inlineStr">
        <is>
          <t>KALMAR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15246-2022</t>
        </is>
      </c>
      <c r="B485" t="inlineStr">
        <is>
          <t>avverkningsanmälan</t>
        </is>
      </c>
      <c r="C485" t="inlineStr">
        <is>
          <t>Föryngringsavverkning</t>
        </is>
      </c>
      <c r="D485" s="1" t="n">
        <v>44658</v>
      </c>
      <c r="E485" s="1" t="n">
        <v>46231</v>
      </c>
      <c r="F485" t="inlineStr">
        <is>
          <t>KALMAR LÄN</t>
        </is>
      </c>
      <c r="G485" t="inlineStr">
        <is>
          <t>KALMAR</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48337-2022</t>
        </is>
      </c>
      <c r="B486" t="inlineStr">
        <is>
          <t>avverkningsanmälan</t>
        </is>
      </c>
      <c r="C486" t="inlineStr">
        <is>
          <t>Föryngringsavverkning</t>
        </is>
      </c>
      <c r="D486" s="1" t="n">
        <v>44858</v>
      </c>
      <c r="E486" s="1" t="n">
        <v>46231</v>
      </c>
      <c r="F486" t="inlineStr">
        <is>
          <t>KALMAR LÄN</t>
        </is>
      </c>
      <c r="G486" t="inlineStr">
        <is>
          <t>KALMAR</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6012-2024</t>
        </is>
      </c>
      <c r="B487" t="inlineStr">
        <is>
          <t>avverkningsanmälan</t>
        </is>
      </c>
      <c r="C487" t="inlineStr">
        <is>
          <t>Föryngringsavverkning</t>
        </is>
      </c>
      <c r="D487" s="1" t="n">
        <v>45336</v>
      </c>
      <c r="E487" s="1" t="n">
        <v>46231</v>
      </c>
      <c r="F487" t="inlineStr">
        <is>
          <t>KALMAR LÄN</t>
        </is>
      </c>
      <c r="G487" t="inlineStr">
        <is>
          <t>KALMAR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34228-2024</t>
        </is>
      </c>
      <c r="B488" t="inlineStr">
        <is>
          <t>avverkningsanmälan</t>
        </is>
      </c>
      <c r="C488" t="inlineStr">
        <is>
          <t>Föryngringsavverkning</t>
        </is>
      </c>
      <c r="D488" s="1" t="n">
        <v>45524</v>
      </c>
      <c r="E488" s="1" t="n">
        <v>46231</v>
      </c>
      <c r="F488" t="inlineStr">
        <is>
          <t>KALMAR LÄN</t>
        </is>
      </c>
      <c r="G488" t="inlineStr">
        <is>
          <t>KALMAR</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22131-2022</t>
        </is>
      </c>
      <c r="B489" t="inlineStr">
        <is>
          <t>avverkningsanmälan</t>
        </is>
      </c>
      <c r="C489" t="inlineStr">
        <is>
          <t>Föryngringsavverkning</t>
        </is>
      </c>
      <c r="D489" s="1" t="n">
        <v>44712</v>
      </c>
      <c r="E489" s="1" t="n">
        <v>46231</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36260-2022</t>
        </is>
      </c>
      <c r="B490" t="inlineStr">
        <is>
          <t>avverkningsanmälan</t>
        </is>
      </c>
      <c r="C490" t="inlineStr">
        <is>
          <t>Föryngringsavverkning</t>
        </is>
      </c>
      <c r="D490" s="1" t="n">
        <v>44803</v>
      </c>
      <c r="E490" s="1" t="n">
        <v>46231</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8735-2023</t>
        </is>
      </c>
      <c r="B491" t="inlineStr">
        <is>
          <t>avverkningsanmälan</t>
        </is>
      </c>
      <c r="C491" t="inlineStr">
        <is>
          <t>Föryngringsavverkning</t>
        </is>
      </c>
      <c r="D491" s="1" t="n">
        <v>44978</v>
      </c>
      <c r="E491" s="1" t="n">
        <v>46231</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1940-2023</t>
        </is>
      </c>
      <c r="B492" t="inlineStr">
        <is>
          <t>avverkningsanmälan</t>
        </is>
      </c>
      <c r="C492" t="inlineStr">
        <is>
          <t>Föryngringsavverkning</t>
        </is>
      </c>
      <c r="D492" s="1" t="n">
        <v>44939</v>
      </c>
      <c r="E492" s="1" t="n">
        <v>46231</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60871-2021</t>
        </is>
      </c>
      <c r="B493" t="inlineStr">
        <is>
          <t>avverkningsanmälan</t>
        </is>
      </c>
      <c r="C493" t="inlineStr">
        <is>
          <t>Föryngringsavverkning</t>
        </is>
      </c>
      <c r="D493" s="1" t="n">
        <v>44497</v>
      </c>
      <c r="E493" s="1" t="n">
        <v>46231</v>
      </c>
      <c r="F493" t="inlineStr">
        <is>
          <t>KALMAR LÄN</t>
        </is>
      </c>
      <c r="G493" t="inlineStr">
        <is>
          <t>KALMAR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51962-2024</t>
        </is>
      </c>
      <c r="B494" t="inlineStr">
        <is>
          <t>avverkningsanmälan</t>
        </is>
      </c>
      <c r="C494" t="inlineStr">
        <is>
          <t>Avverkning för annat ändamål</t>
        </is>
      </c>
      <c r="D494" s="1" t="n">
        <v>45607</v>
      </c>
      <c r="E494" s="1" t="n">
        <v>46231</v>
      </c>
      <c r="F494" t="inlineStr">
        <is>
          <t>KALMAR LÄN</t>
        </is>
      </c>
      <c r="G494" t="inlineStr">
        <is>
          <t>KALMAR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23231-2023</t>
        </is>
      </c>
      <c r="B495" t="inlineStr">
        <is>
          <t>avverkningsanmälan</t>
        </is>
      </c>
      <c r="C495" t="inlineStr">
        <is>
          <t>Föryngringsavverkning</t>
        </is>
      </c>
      <c r="D495" s="1" t="n">
        <v>45075</v>
      </c>
      <c r="E495" s="1" t="n">
        <v>46231</v>
      </c>
      <c r="F495" t="inlineStr">
        <is>
          <t>KALMAR LÄN</t>
        </is>
      </c>
      <c r="G495" t="inlineStr">
        <is>
          <t>KALMAR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47989-2022</t>
        </is>
      </c>
      <c r="B496" t="inlineStr">
        <is>
          <t>avverkningsanmälan</t>
        </is>
      </c>
      <c r="C496" t="inlineStr">
        <is>
          <t>Föryngringsavverkning</t>
        </is>
      </c>
      <c r="D496" s="1" t="n">
        <v>44855</v>
      </c>
      <c r="E496" s="1" t="n">
        <v>46231</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26078-2023</t>
        </is>
      </c>
      <c r="B497" t="inlineStr">
        <is>
          <t>avverkningsanmälan</t>
        </is>
      </c>
      <c r="C497" t="inlineStr">
        <is>
          <t>Föryngringsavverkning</t>
        </is>
      </c>
      <c r="D497" s="1" t="n">
        <v>45091</v>
      </c>
      <c r="E497" s="1" t="n">
        <v>46231</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58800-2023</t>
        </is>
      </c>
      <c r="B498" t="inlineStr">
        <is>
          <t>avverkningsanmälan</t>
        </is>
      </c>
      <c r="C498" t="inlineStr">
        <is>
          <t>Föryngringsavverkning</t>
        </is>
      </c>
      <c r="D498" s="1" t="n">
        <v>45252</v>
      </c>
      <c r="E498" s="1" t="n">
        <v>46231</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26903-2024</t>
        </is>
      </c>
      <c r="B499" t="inlineStr">
        <is>
          <t>avverkningsanmälan</t>
        </is>
      </c>
      <c r="C499" t="inlineStr">
        <is>
          <t>Föryngringsavverkning</t>
        </is>
      </c>
      <c r="D499" s="1" t="n">
        <v>45470</v>
      </c>
      <c r="E499" s="1" t="n">
        <v>46231</v>
      </c>
      <c r="F499" t="inlineStr">
        <is>
          <t>KALMAR LÄN</t>
        </is>
      </c>
      <c r="G499" t="inlineStr">
        <is>
          <t>KALMAR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17085-2023</t>
        </is>
      </c>
      <c r="B500" t="inlineStr">
        <is>
          <t>avverkningsanmälan</t>
        </is>
      </c>
      <c r="C500" t="inlineStr">
        <is>
          <t>Föryngringsavverkning</t>
        </is>
      </c>
      <c r="D500" s="1" t="n">
        <v>45034</v>
      </c>
      <c r="E500" s="1" t="n">
        <v>46231</v>
      </c>
      <c r="F500" t="inlineStr">
        <is>
          <t>KALMAR LÄN</t>
        </is>
      </c>
      <c r="G500" t="inlineStr">
        <is>
          <t>KALMAR</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57138-2022</t>
        </is>
      </c>
      <c r="B501" t="inlineStr">
        <is>
          <t>avverkningsanmälan</t>
        </is>
      </c>
      <c r="C501" t="inlineStr">
        <is>
          <t>Föryngringsavverkning</t>
        </is>
      </c>
      <c r="D501" s="1" t="n">
        <v>44895</v>
      </c>
      <c r="E501" s="1" t="n">
        <v>46231</v>
      </c>
      <c r="F501" t="inlineStr">
        <is>
          <t>KALMAR LÄN</t>
        </is>
      </c>
      <c r="G501" t="inlineStr">
        <is>
          <t>KALMAR</t>
        </is>
      </c>
      <c r="I501" t="n">
        <v>15.6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37305-2024</t>
        </is>
      </c>
      <c r="B502" t="inlineStr">
        <is>
          <t>avverkningsanmälan</t>
        </is>
      </c>
      <c r="C502" t="inlineStr">
        <is>
          <t>Föryngringsavverkning</t>
        </is>
      </c>
      <c r="D502" s="1" t="n">
        <v>45540</v>
      </c>
      <c r="E502" s="1" t="n">
        <v>46231</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17701-2024</t>
        </is>
      </c>
      <c r="B503" t="inlineStr">
        <is>
          <t>avverkningsanmälan</t>
        </is>
      </c>
      <c r="C503" t="inlineStr">
        <is>
          <t>Föryngringsavverkning</t>
        </is>
      </c>
      <c r="D503" s="1" t="n">
        <v>45418</v>
      </c>
      <c r="E503" s="1" t="n">
        <v>46231</v>
      </c>
      <c r="F503" t="inlineStr">
        <is>
          <t>KALMAR LÄN</t>
        </is>
      </c>
      <c r="G503" t="inlineStr">
        <is>
          <t>KALMAR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7415-2023</t>
        </is>
      </c>
      <c r="B504" t="inlineStr">
        <is>
          <t>avverkningsanmälan</t>
        </is>
      </c>
      <c r="C504" t="inlineStr">
        <is>
          <t>Föryngringsavverkning</t>
        </is>
      </c>
      <c r="D504" s="1" t="n">
        <v>44971</v>
      </c>
      <c r="E504" s="1" t="n">
        <v>46231</v>
      </c>
      <c r="F504" t="inlineStr">
        <is>
          <t>KALMAR LÄN</t>
        </is>
      </c>
      <c r="G504" t="inlineStr">
        <is>
          <t>KALMAR</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25740-2023</t>
        </is>
      </c>
      <c r="B505" t="inlineStr">
        <is>
          <t>avverkningsanmälan</t>
        </is>
      </c>
      <c r="C505" t="inlineStr">
        <is>
          <t>Föryngringsavverkning</t>
        </is>
      </c>
      <c r="D505" s="1" t="n">
        <v>45090</v>
      </c>
      <c r="E505" s="1" t="n">
        <v>46231</v>
      </c>
      <c r="F505" t="inlineStr">
        <is>
          <t>KALMAR LÄN</t>
        </is>
      </c>
      <c r="G505" t="inlineStr">
        <is>
          <t>KALMAR</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68423-2021</t>
        </is>
      </c>
      <c r="B506" t="inlineStr">
        <is>
          <t>avverkningsanmälan</t>
        </is>
      </c>
      <c r="C506" t="inlineStr">
        <is>
          <t>Föryngringsavverkning</t>
        </is>
      </c>
      <c r="D506" s="1" t="n">
        <v>44529</v>
      </c>
      <c r="E506" s="1" t="n">
        <v>46231</v>
      </c>
      <c r="F506" t="inlineStr">
        <is>
          <t>KALMAR LÄN</t>
        </is>
      </c>
      <c r="G506" t="inlineStr">
        <is>
          <t>KALMAR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37447-2023</t>
        </is>
      </c>
      <c r="B507" t="inlineStr">
        <is>
          <t>avverkningsanmälan</t>
        </is>
      </c>
      <c r="C507" t="inlineStr">
        <is>
          <t>Föryngringsavverkning</t>
        </is>
      </c>
      <c r="D507" s="1" t="n">
        <v>45156</v>
      </c>
      <c r="E507" s="1" t="n">
        <v>46231</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11487-2023</t>
        </is>
      </c>
      <c r="B508" t="inlineStr">
        <is>
          <t>avverkningsanmälan</t>
        </is>
      </c>
      <c r="C508" t="inlineStr">
        <is>
          <t>Föryngringsavverkning</t>
        </is>
      </c>
      <c r="D508" s="1" t="n">
        <v>44993</v>
      </c>
      <c r="E508" s="1" t="n">
        <v>46231</v>
      </c>
      <c r="F508" t="inlineStr">
        <is>
          <t>KALMAR LÄN</t>
        </is>
      </c>
      <c r="G508" t="inlineStr">
        <is>
          <t>KALMAR</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56592-2024</t>
        </is>
      </c>
      <c r="B509" t="inlineStr">
        <is>
          <t>avverkningsanmälan</t>
        </is>
      </c>
      <c r="C509" t="inlineStr">
        <is>
          <t>Föryngringsavverkning</t>
        </is>
      </c>
      <c r="D509" s="1" t="n">
        <v>45625</v>
      </c>
      <c r="E509" s="1" t="n">
        <v>46231</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49711-2023</t>
        </is>
      </c>
      <c r="B510" t="inlineStr">
        <is>
          <t>avverkningsanmälan</t>
        </is>
      </c>
      <c r="C510" t="inlineStr">
        <is>
          <t>Föryngringsavverkning</t>
        </is>
      </c>
      <c r="D510" s="1" t="n">
        <v>45212</v>
      </c>
      <c r="E510" s="1" t="n">
        <v>46231</v>
      </c>
      <c r="F510" t="inlineStr">
        <is>
          <t>KALMAR LÄN</t>
        </is>
      </c>
      <c r="G510" t="inlineStr">
        <is>
          <t>KALMAR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42369-2024</t>
        </is>
      </c>
      <c r="B511" t="inlineStr">
        <is>
          <t>avverkningsanmälan</t>
        </is>
      </c>
      <c r="C511" t="inlineStr">
        <is>
          <t>Föryngringsavverkning</t>
        </is>
      </c>
      <c r="D511" s="1" t="n">
        <v>45564</v>
      </c>
      <c r="E511" s="1" t="n">
        <v>46231</v>
      </c>
      <c r="F511" t="inlineStr">
        <is>
          <t>KALMAR LÄN</t>
        </is>
      </c>
      <c r="G511" t="inlineStr">
        <is>
          <t>KALMAR</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16804-2024</t>
        </is>
      </c>
      <c r="B512" t="inlineStr">
        <is>
          <t>avverkningsanmälan</t>
        </is>
      </c>
      <c r="C512" t="inlineStr">
        <is>
          <t>Föryngringsavverkning</t>
        </is>
      </c>
      <c r="D512" s="1" t="n">
        <v>45411</v>
      </c>
      <c r="E512" s="1" t="n">
        <v>46231</v>
      </c>
      <c r="F512" t="inlineStr">
        <is>
          <t>KALMAR LÄN</t>
        </is>
      </c>
      <c r="G512" t="inlineStr">
        <is>
          <t>KALMAR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21799-2023</t>
        </is>
      </c>
      <c r="B513" t="inlineStr">
        <is>
          <t>avverkningsanmälan</t>
        </is>
      </c>
      <c r="C513" t="inlineStr">
        <is>
          <t>Föryngringsavverkning</t>
        </is>
      </c>
      <c r="D513" s="1" t="n">
        <v>45067</v>
      </c>
      <c r="E513" s="1" t="n">
        <v>46231</v>
      </c>
      <c r="F513" t="inlineStr">
        <is>
          <t>KALMAR LÄN</t>
        </is>
      </c>
      <c r="G513" t="inlineStr">
        <is>
          <t>KALMAR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57630-2023</t>
        </is>
      </c>
      <c r="B514" t="inlineStr">
        <is>
          <t>avverkningsanmälan</t>
        </is>
      </c>
      <c r="C514" t="inlineStr">
        <is>
          <t>Föryngringsavverkning</t>
        </is>
      </c>
      <c r="D514" s="1" t="n">
        <v>45246</v>
      </c>
      <c r="E514" s="1" t="n">
        <v>46231</v>
      </c>
      <c r="F514" t="inlineStr">
        <is>
          <t>KALMAR LÄN</t>
        </is>
      </c>
      <c r="G514" t="inlineStr">
        <is>
          <t>KALMAR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38453-2021</t>
        </is>
      </c>
      <c r="B515" t="inlineStr">
        <is>
          <t>avverkningsanmälan</t>
        </is>
      </c>
      <c r="C515" t="inlineStr">
        <is>
          <t>Föryngringsavverkning</t>
        </is>
      </c>
      <c r="D515" s="1" t="n">
        <v>44407</v>
      </c>
      <c r="E515" s="1" t="n">
        <v>46231</v>
      </c>
      <c r="F515" t="inlineStr">
        <is>
          <t>KALMAR LÄN</t>
        </is>
      </c>
      <c r="G515" t="inlineStr">
        <is>
          <t>KALMAR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40171-2021</t>
        </is>
      </c>
      <c r="B516" t="inlineStr">
        <is>
          <t>avverkningsanmälan</t>
        </is>
      </c>
      <c r="C516" t="inlineStr">
        <is>
          <t>Föryngringsavverkning</t>
        </is>
      </c>
      <c r="D516" s="1" t="n">
        <v>44418</v>
      </c>
      <c r="E516" s="1" t="n">
        <v>46231</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45868-2022</t>
        </is>
      </c>
      <c r="B517" t="inlineStr">
        <is>
          <t>avverkningsanmälan</t>
        </is>
      </c>
      <c r="C517" t="inlineStr">
        <is>
          <t>Föryngringsavverkning</t>
        </is>
      </c>
      <c r="D517" s="1" t="n">
        <v>44846</v>
      </c>
      <c r="E517" s="1" t="n">
        <v>46231</v>
      </c>
      <c r="F517" t="inlineStr">
        <is>
          <t>KALMAR LÄN</t>
        </is>
      </c>
      <c r="G517" t="inlineStr">
        <is>
          <t>KALMAR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41073-2023</t>
        </is>
      </c>
      <c r="B518" t="inlineStr">
        <is>
          <t>avverkningsanmälan</t>
        </is>
      </c>
      <c r="C518" t="inlineStr">
        <is>
          <t>Föryngringsavverkning</t>
        </is>
      </c>
      <c r="D518" s="1" t="n">
        <v>45173</v>
      </c>
      <c r="E518" s="1" t="n">
        <v>46231</v>
      </c>
      <c r="F518" t="inlineStr">
        <is>
          <t>KALMAR LÄN</t>
        </is>
      </c>
      <c r="G518" t="inlineStr">
        <is>
          <t>KALMAR</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41155-2023</t>
        </is>
      </c>
      <c r="B519" t="inlineStr">
        <is>
          <t>avverkningsanmälan</t>
        </is>
      </c>
      <c r="C519" t="inlineStr">
        <is>
          <t>Föryngringsavverkning</t>
        </is>
      </c>
      <c r="D519" s="1" t="n">
        <v>45174</v>
      </c>
      <c r="E519" s="1" t="n">
        <v>46231</v>
      </c>
      <c r="F519" t="inlineStr">
        <is>
          <t>KALMAR LÄN</t>
        </is>
      </c>
      <c r="G519" t="inlineStr">
        <is>
          <t>KALMAR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27565-2023</t>
        </is>
      </c>
      <c r="B520" t="inlineStr">
        <is>
          <t>avverkningsanmälan</t>
        </is>
      </c>
      <c r="C520" t="inlineStr">
        <is>
          <t>Föryngringsavverkning</t>
        </is>
      </c>
      <c r="D520" s="1" t="n">
        <v>45097</v>
      </c>
      <c r="E520" s="1" t="n">
        <v>46231</v>
      </c>
      <c r="F520" t="inlineStr">
        <is>
          <t>KALMAR LÄN</t>
        </is>
      </c>
      <c r="G520" t="inlineStr">
        <is>
          <t>KALMAR</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51155-2023</t>
        </is>
      </c>
      <c r="B521" t="inlineStr">
        <is>
          <t>avverkningsanmälan</t>
        </is>
      </c>
      <c r="C521" t="inlineStr">
        <is>
          <t>Föryngringsavverkning</t>
        </is>
      </c>
      <c r="D521" s="1" t="n">
        <v>45219</v>
      </c>
      <c r="E521" s="1" t="n">
        <v>46231</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56905-2024</t>
        </is>
      </c>
      <c r="B522" t="inlineStr">
        <is>
          <t>avverkningsanmälan</t>
        </is>
      </c>
      <c r="C522" t="inlineStr">
        <is>
          <t>Föryngringsavverkning</t>
        </is>
      </c>
      <c r="D522" s="1" t="n">
        <v>45628</v>
      </c>
      <c r="E522" s="1" t="n">
        <v>46231</v>
      </c>
      <c r="F522" t="inlineStr">
        <is>
          <t>KALMAR LÄN</t>
        </is>
      </c>
      <c r="G522" t="inlineStr">
        <is>
          <t>KALMAR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62941-2023</t>
        </is>
      </c>
      <c r="B523" t="inlineStr">
        <is>
          <t>avverkningsanmälan</t>
        </is>
      </c>
      <c r="C523" t="inlineStr">
        <is>
          <t>Föryngringsavverkning</t>
        </is>
      </c>
      <c r="D523" s="1" t="n">
        <v>45272</v>
      </c>
      <c r="E523" s="1" t="n">
        <v>46231</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31045-2023</t>
        </is>
      </c>
      <c r="B524" t="inlineStr">
        <is>
          <t>avverkningsanmälan</t>
        </is>
      </c>
      <c r="C524" t="inlineStr">
        <is>
          <t>Avverkning för annat ändamål</t>
        </is>
      </c>
      <c r="D524" s="1" t="n">
        <v>45113</v>
      </c>
      <c r="E524" s="1" t="n">
        <v>46231</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40986-2023</t>
        </is>
      </c>
      <c r="B525" t="inlineStr">
        <is>
          <t>avverkningsanmälan</t>
        </is>
      </c>
      <c r="C525" t="inlineStr">
        <is>
          <t>Föryngringsavverkning</t>
        </is>
      </c>
      <c r="D525" s="1" t="n">
        <v>45173</v>
      </c>
      <c r="E525" s="1" t="n">
        <v>46231</v>
      </c>
      <c r="F525" t="inlineStr">
        <is>
          <t>KALMAR LÄN</t>
        </is>
      </c>
      <c r="G525" t="inlineStr">
        <is>
          <t>KALMAR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7495-2023</t>
        </is>
      </c>
      <c r="B526" t="inlineStr">
        <is>
          <t>avverkningsanmälan</t>
        </is>
      </c>
      <c r="C526" t="inlineStr">
        <is>
          <t>Föryngringsavverkning</t>
        </is>
      </c>
      <c r="D526" s="1" t="n">
        <v>44971</v>
      </c>
      <c r="E526" s="1" t="n">
        <v>46231</v>
      </c>
      <c r="F526" t="inlineStr">
        <is>
          <t>KALMAR LÄN</t>
        </is>
      </c>
      <c r="G526" t="inlineStr">
        <is>
          <t>KALMAR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13141-2025</t>
        </is>
      </c>
      <c r="B527" t="inlineStr">
        <is>
          <t>avverkningsanmälan</t>
        </is>
      </c>
      <c r="C527" t="inlineStr">
        <is>
          <t>Föryngringsavverkning</t>
        </is>
      </c>
      <c r="D527" s="1" t="n">
        <v>45735</v>
      </c>
      <c r="E527" s="1" t="n">
        <v>46231</v>
      </c>
      <c r="F527" t="inlineStr">
        <is>
          <t>KALMAR LÄN</t>
        </is>
      </c>
      <c r="G527" t="inlineStr">
        <is>
          <t>KALMAR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41633-2023</t>
        </is>
      </c>
      <c r="B528" t="inlineStr">
        <is>
          <t>avverkningsanmälan</t>
        </is>
      </c>
      <c r="C528" t="inlineStr">
        <is>
          <t>Föryngringsavverkning</t>
        </is>
      </c>
      <c r="D528" s="1" t="n">
        <v>45175</v>
      </c>
      <c r="E528" s="1" t="n">
        <v>46231</v>
      </c>
      <c r="F528" t="inlineStr">
        <is>
          <t>KALMAR LÄN</t>
        </is>
      </c>
      <c r="G528" t="inlineStr">
        <is>
          <t>KALMAR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44046-2023</t>
        </is>
      </c>
      <c r="B529" t="inlineStr">
        <is>
          <t>avverkningsanmälan</t>
        </is>
      </c>
      <c r="C529" t="inlineStr">
        <is>
          <t>Föryngringsavverkning</t>
        </is>
      </c>
      <c r="D529" s="1" t="n">
        <v>45188</v>
      </c>
      <c r="E529" s="1" t="n">
        <v>46231</v>
      </c>
      <c r="F529" t="inlineStr">
        <is>
          <t>KALMAR LÄN</t>
        </is>
      </c>
      <c r="G529" t="inlineStr">
        <is>
          <t>KALMAR</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42655-2023</t>
        </is>
      </c>
      <c r="B530" t="inlineStr">
        <is>
          <t>avverkningsanmälan</t>
        </is>
      </c>
      <c r="C530" t="inlineStr">
        <is>
          <t>Föryngringsavverkning</t>
        </is>
      </c>
      <c r="D530" s="1" t="n">
        <v>45181</v>
      </c>
      <c r="E530" s="1" t="n">
        <v>46231</v>
      </c>
      <c r="F530" t="inlineStr">
        <is>
          <t>KALMAR LÄN</t>
        </is>
      </c>
      <c r="G530" t="inlineStr">
        <is>
          <t>KALMAR</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20913-2024</t>
        </is>
      </c>
      <c r="B531" t="inlineStr">
        <is>
          <t>avverkningsanmälan</t>
        </is>
      </c>
      <c r="C531" t="inlineStr">
        <is>
          <t>Föryngringsavverkning</t>
        </is>
      </c>
      <c r="D531" s="1" t="n">
        <v>45439</v>
      </c>
      <c r="E531" s="1" t="n">
        <v>46231</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57626-2023</t>
        </is>
      </c>
      <c r="B532" t="inlineStr">
        <is>
          <t>avverkningsanmälan</t>
        </is>
      </c>
      <c r="C532" t="inlineStr">
        <is>
          <t>Föryngringsavverkning</t>
        </is>
      </c>
      <c r="D532" s="1" t="n">
        <v>45246</v>
      </c>
      <c r="E532" s="1" t="n">
        <v>46231</v>
      </c>
      <c r="F532" t="inlineStr">
        <is>
          <t>KALMAR LÄN</t>
        </is>
      </c>
      <c r="G532" t="inlineStr">
        <is>
          <t>KALMAR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39350-2024</t>
        </is>
      </c>
      <c r="B533" t="inlineStr">
        <is>
          <t>avverkningsanmälan</t>
        </is>
      </c>
      <c r="C533" t="inlineStr">
        <is>
          <t>Föryngringsavverkning</t>
        </is>
      </c>
      <c r="D533" s="1" t="n">
        <v>45551</v>
      </c>
      <c r="E533" s="1" t="n">
        <v>46231</v>
      </c>
      <c r="F533" t="inlineStr">
        <is>
          <t>KALMAR LÄN</t>
        </is>
      </c>
      <c r="G533" t="inlineStr">
        <is>
          <t>KALMAR</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40814-2024</t>
        </is>
      </c>
      <c r="B534" t="inlineStr">
        <is>
          <t>avverkningsanmälan</t>
        </is>
      </c>
      <c r="C534" t="inlineStr">
        <is>
          <t>Avverkning för att bevara och utveckla /försöksver</t>
        </is>
      </c>
      <c r="D534" s="1" t="n">
        <v>45558</v>
      </c>
      <c r="E534" s="1" t="n">
        <v>46231</v>
      </c>
      <c r="F534" t="inlineStr">
        <is>
          <t>KALMAR LÄN</t>
        </is>
      </c>
      <c r="G534" t="inlineStr">
        <is>
          <t>KALMAR</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20611-2025</t>
        </is>
      </c>
      <c r="B535" t="inlineStr">
        <is>
          <t>avverkningsanmälan</t>
        </is>
      </c>
      <c r="C535" t="inlineStr">
        <is>
          <t>Föryngringsavverkning</t>
        </is>
      </c>
      <c r="D535" s="1" t="n">
        <v>45775</v>
      </c>
      <c r="E535" s="1" t="n">
        <v>46231</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21964-2024</t>
        </is>
      </c>
      <c r="B536" t="inlineStr">
        <is>
          <t>avverkningsanmälan</t>
        </is>
      </c>
      <c r="C536" t="inlineStr">
        <is>
          <t>Föryngringsavverkning</t>
        </is>
      </c>
      <c r="D536" s="1" t="n">
        <v>45443</v>
      </c>
      <c r="E536" s="1" t="n">
        <v>46231</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21471-2025</t>
        </is>
      </c>
      <c r="B537" t="inlineStr">
        <is>
          <t>avverkningsanmälan</t>
        </is>
      </c>
      <c r="C537" t="inlineStr">
        <is>
          <t>Föryngringsavverkning</t>
        </is>
      </c>
      <c r="D537" s="1" t="n">
        <v>45782</v>
      </c>
      <c r="E537" s="1" t="n">
        <v>46231</v>
      </c>
      <c r="F537" t="inlineStr">
        <is>
          <t>KALMAR LÄN</t>
        </is>
      </c>
      <c r="G537" t="inlineStr">
        <is>
          <t>KALMAR</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42697-2024</t>
        </is>
      </c>
      <c r="B538" t="inlineStr">
        <is>
          <t>avverkningsanmälan</t>
        </is>
      </c>
      <c r="C538" t="inlineStr">
        <is>
          <t>Avverkning för att bevara och utveckla /försöksver</t>
        </is>
      </c>
      <c r="D538" s="1" t="n">
        <v>45566</v>
      </c>
      <c r="E538" s="1" t="n">
        <v>46231</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592-2025</t>
        </is>
      </c>
      <c r="B539" t="inlineStr">
        <is>
          <t>avverkningsanmälan</t>
        </is>
      </c>
      <c r="C539" t="inlineStr">
        <is>
          <t>Föryngringsavverkning</t>
        </is>
      </c>
      <c r="D539" s="1" t="n">
        <v>45664</v>
      </c>
      <c r="E539" s="1" t="n">
        <v>46231</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9877-2024</t>
        </is>
      </c>
      <c r="B540" t="inlineStr">
        <is>
          <t>avverkningsanmälan</t>
        </is>
      </c>
      <c r="C540" t="inlineStr">
        <is>
          <t>Föryngringsavverkning</t>
        </is>
      </c>
      <c r="D540" s="1" t="n">
        <v>45363</v>
      </c>
      <c r="E540" s="1" t="n">
        <v>46231</v>
      </c>
      <c r="F540" t="inlineStr">
        <is>
          <t>KALMAR LÄN</t>
        </is>
      </c>
      <c r="G540" t="inlineStr">
        <is>
          <t>KALMAR</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22171-2025</t>
        </is>
      </c>
      <c r="B541" t="inlineStr">
        <is>
          <t>avverkningsanmälan</t>
        </is>
      </c>
      <c r="C541" t="inlineStr">
        <is>
          <t>Avverkning för annat ändamål</t>
        </is>
      </c>
      <c r="D541" s="1" t="n">
        <v>45785</v>
      </c>
      <c r="E541" s="1" t="n">
        <v>46231</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459-2025</t>
        </is>
      </c>
      <c r="B542" t="inlineStr">
        <is>
          <t>avverkningsanmälan</t>
        </is>
      </c>
      <c r="C542" t="inlineStr">
        <is>
          <t>Föryngringsavverkning</t>
        </is>
      </c>
      <c r="D542" s="1" t="n">
        <v>45664</v>
      </c>
      <c r="E542" s="1" t="n">
        <v>46231</v>
      </c>
      <c r="F542" t="inlineStr">
        <is>
          <t>KALMAR LÄN</t>
        </is>
      </c>
      <c r="G542" t="inlineStr">
        <is>
          <t>KALMAR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12389-2025</t>
        </is>
      </c>
      <c r="B543" t="inlineStr">
        <is>
          <t>avverkningsanmälan</t>
        </is>
      </c>
      <c r="C543" t="inlineStr">
        <is>
          <t>Föryngringsavverkning</t>
        </is>
      </c>
      <c r="D543" s="1" t="n">
        <v>45730</v>
      </c>
      <c r="E543" s="1" t="n">
        <v>46231</v>
      </c>
      <c r="F543" t="inlineStr">
        <is>
          <t>KALMAR LÄN</t>
        </is>
      </c>
      <c r="G543" t="inlineStr">
        <is>
          <t>KALMAR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23565-2025</t>
        </is>
      </c>
      <c r="B544" t="inlineStr">
        <is>
          <t>avverkningsanmälan</t>
        </is>
      </c>
      <c r="C544" t="inlineStr">
        <is>
          <t>Föryngringsavverkning</t>
        </is>
      </c>
      <c r="D544" s="1" t="n">
        <v>45792</v>
      </c>
      <c r="E544" s="1" t="n">
        <v>46231</v>
      </c>
      <c r="F544" t="inlineStr">
        <is>
          <t>KALMAR LÄN</t>
        </is>
      </c>
      <c r="G544" t="inlineStr">
        <is>
          <t>KALMAR</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23187-2025</t>
        </is>
      </c>
      <c r="B545" t="inlineStr">
        <is>
          <t>avverkningsanmälan</t>
        </is>
      </c>
      <c r="C545" t="inlineStr">
        <is>
          <t>Föryngringsavverkning</t>
        </is>
      </c>
      <c r="D545" s="1" t="n">
        <v>45791</v>
      </c>
      <c r="E545" s="1" t="n">
        <v>46231</v>
      </c>
      <c r="F545" t="inlineStr">
        <is>
          <t>KALMAR LÄN</t>
        </is>
      </c>
      <c r="G545" t="inlineStr">
        <is>
          <t>KALMAR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925-2022</t>
        </is>
      </c>
      <c r="B546" t="inlineStr">
        <is>
          <t>samrådsanmälan</t>
        </is>
      </c>
      <c r="C546" t="inlineStr">
        <is>
          <t>Askåterföring</t>
        </is>
      </c>
      <c r="D546" s="1" t="n">
        <v>44607</v>
      </c>
      <c r="E546" s="1" t="n">
        <v>46231</v>
      </c>
      <c r="F546" t="inlineStr">
        <is>
          <t>KALMAR LÄN</t>
        </is>
      </c>
      <c r="G546" t="inlineStr">
        <is>
          <t>KALMAR</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46231</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1061-2024</t>
        </is>
      </c>
      <c r="B548" t="inlineStr">
        <is>
          <t>samrådsanmälan</t>
        </is>
      </c>
      <c r="C548" t="inlineStr">
        <is>
          <t>Askåterföring</t>
        </is>
      </c>
      <c r="D548" s="1" t="n">
        <v>45387</v>
      </c>
      <c r="E548" s="1" t="n">
        <v>46231</v>
      </c>
      <c r="F548" t="inlineStr">
        <is>
          <t>KALMAR LÄN</t>
        </is>
      </c>
      <c r="G548" t="inlineStr">
        <is>
          <t>KALMAR</t>
        </is>
      </c>
      <c r="I548" t="n">
        <v>11.8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869-2024</t>
        </is>
      </c>
      <c r="B549" t="inlineStr">
        <is>
          <t>samrådsanmälan</t>
        </is>
      </c>
      <c r="C549" t="inlineStr">
        <is>
          <t>Askåterföring</t>
        </is>
      </c>
      <c r="D549" s="1" t="n">
        <v>45373</v>
      </c>
      <c r="E549" s="1" t="n">
        <v>46231</v>
      </c>
      <c r="F549" t="inlineStr">
        <is>
          <t>KALMAR LÄN</t>
        </is>
      </c>
      <c r="G549" t="inlineStr">
        <is>
          <t>KALMAR</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516-2024</t>
        </is>
      </c>
      <c r="B550" t="inlineStr">
        <is>
          <t>samrådsanmälan</t>
        </is>
      </c>
      <c r="C550" t="inlineStr">
        <is>
          <t>Askåterföring</t>
        </is>
      </c>
      <c r="D550" s="1" t="n">
        <v>45345</v>
      </c>
      <c r="E550" s="1" t="n">
        <v>46231</v>
      </c>
      <c r="F550" t="inlineStr">
        <is>
          <t>KALMAR LÄN</t>
        </is>
      </c>
      <c r="G550" t="inlineStr">
        <is>
          <t>KALMAR</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1849-2024</t>
        </is>
      </c>
      <c r="B551" t="inlineStr">
        <is>
          <t>samrådsanmälan</t>
        </is>
      </c>
      <c r="C551" t="inlineStr">
        <is>
          <t>Askåterföring</t>
        </is>
      </c>
      <c r="D551" s="1" t="n">
        <v>45440</v>
      </c>
      <c r="E551" s="1" t="n">
        <v>46231</v>
      </c>
      <c r="F551" t="inlineStr">
        <is>
          <t>KALMAR LÄN</t>
        </is>
      </c>
      <c r="G551" t="inlineStr">
        <is>
          <t>KALMAR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4492-2024</t>
        </is>
      </c>
      <c r="B552" t="inlineStr">
        <is>
          <t>samrådsanmälan</t>
        </is>
      </c>
      <c r="C552" t="inlineStr">
        <is>
          <t>Annan skogsbruksåtgärd</t>
        </is>
      </c>
      <c r="D552" s="1" t="n">
        <v>45595</v>
      </c>
      <c r="E552" s="1" t="n">
        <v>46231</v>
      </c>
      <c r="F552" t="inlineStr">
        <is>
          <t>KALMAR LÄN</t>
        </is>
      </c>
      <c r="G552" t="inlineStr">
        <is>
          <t>KALMAR</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46231</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46231</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46231</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46231</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46231</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46231</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46231</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46231</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46231</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46231</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46231</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46231</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46231</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46231</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46231</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46231</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46231</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46231</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46231</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46231</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46231</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2026-07-28T01:52:03Z</dcterms:created>
  <dcterms:modified xmlns:dcterms="http://purl.org/dc/terms/" xmlns:xsi="http://www.w3.org/2001/XMLSchema-instance" xsi:type="dcterms:W3CDTF">2026-07-28T01:52:04Z</dcterms:modified>
</cp:coreProperties>
</file>