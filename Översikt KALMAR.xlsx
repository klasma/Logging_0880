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46043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46043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46043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46043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46043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46043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46043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46043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46043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46043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46043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46043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46043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46043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46043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46043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46043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44163-2025</t>
        </is>
      </c>
      <c r="B27" s="1" t="n">
        <v>45915.59765046297</v>
      </c>
      <c r="C27" s="1" t="n">
        <v>46043</v>
      </c>
      <c r="D27" t="inlineStr">
        <is>
          <t>KALMAR LÄN</t>
        </is>
      </c>
      <c r="E27" t="inlineStr">
        <is>
          <t>KALMAR</t>
        </is>
      </c>
      <c r="G27" t="n">
        <v>1.1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HYPERLINK("https://klasma.github.io/Logging_0880/artfynd/A 44163-2025 artfynd.xlsx", "A 44163-2025")</f>
        <v/>
      </c>
      <c r="T27">
        <f>HYPERLINK("https://klasma.github.io/Logging_0880/kartor/A 44163-2025 karta.png", "A 44163-2025")</f>
        <v/>
      </c>
      <c r="V27">
        <f>HYPERLINK("https://klasma.github.io/Logging_0880/klagomål/A 44163-2025 FSC-klagomål.docx", "A 44163-2025")</f>
        <v/>
      </c>
      <c r="W27">
        <f>HYPERLINK("https://klasma.github.io/Logging_0880/klagomålsmail/A 44163-2025 FSC-klagomål mail.docx", "A 44163-2025")</f>
        <v/>
      </c>
      <c r="X27">
        <f>HYPERLINK("https://klasma.github.io/Logging_0880/tillsyn/A 44163-2025 tillsynsbegäran.docx", "A 44163-2025")</f>
        <v/>
      </c>
      <c r="Y27">
        <f>HYPERLINK("https://klasma.github.io/Logging_0880/tillsynsmail/A 44163-2025 tillsynsbegäran mail.docx", "A 44163-2025")</f>
        <v/>
      </c>
      <c r="Z27">
        <f>HYPERLINK("https://klasma.github.io/Logging_0880/fåglar/A 44163-2025 prioriterade fågelarter.docx", "A 44163-2025")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46043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46043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46043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30981-2025</t>
        </is>
      </c>
      <c r="B31" s="1" t="n">
        <v>45832.47028935186</v>
      </c>
      <c r="C31" s="1" t="n">
        <v>46043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Igelkott
Sumpviol</t>
        </is>
      </c>
      <c r="S31">
        <f>HYPERLINK("https://klasma.github.io/Logging_0880/artfynd/A 30981-2025 artfynd.xlsx", "A 30981-2025")</f>
        <v/>
      </c>
      <c r="T31">
        <f>HYPERLINK("https://klasma.github.io/Logging_0880/kartor/A 30981-2025 karta.png", "A 30981-2025")</f>
        <v/>
      </c>
      <c r="V31">
        <f>HYPERLINK("https://klasma.github.io/Logging_0880/klagomål/A 30981-2025 FSC-klagomål.docx", "A 30981-2025")</f>
        <v/>
      </c>
      <c r="W31">
        <f>HYPERLINK("https://klasma.github.io/Logging_0880/klagomålsmail/A 30981-2025 FSC-klagomål mail.docx", "A 30981-2025")</f>
        <v/>
      </c>
      <c r="X31">
        <f>HYPERLINK("https://klasma.github.io/Logging_0880/tillsyn/A 30981-2025 tillsynsbegäran.docx", "A 30981-2025")</f>
        <v/>
      </c>
      <c r="Y31">
        <f>HYPERLINK("https://klasma.github.io/Logging_0880/tillsynsmail/A 30981-2025 tillsynsbegäran mail.docx", "A 30981-2025")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46043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46043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46043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46043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46043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46043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46043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46043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46043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46043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46043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46043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46043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46043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46043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46043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46043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46043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46043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46043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46043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46043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46043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46043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46043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46043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46043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46043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46043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38083-2025</t>
        </is>
      </c>
      <c r="B64" s="1" t="n">
        <v>45882</v>
      </c>
      <c r="C64" s="1" t="n">
        <v>46043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38083-2025 artfynd.xlsx", "A 38083-2025")</f>
        <v/>
      </c>
      <c r="T64">
        <f>HYPERLINK("https://klasma.github.io/Logging_0880/kartor/A 38083-2025 karta.png", "A 38083-2025")</f>
        <v/>
      </c>
      <c r="V64">
        <f>HYPERLINK("https://klasma.github.io/Logging_0880/klagomål/A 38083-2025 FSC-klagomål.docx", "A 38083-2025")</f>
        <v/>
      </c>
      <c r="W64">
        <f>HYPERLINK("https://klasma.github.io/Logging_0880/klagomålsmail/A 38083-2025 FSC-klagomål mail.docx", "A 38083-2025")</f>
        <v/>
      </c>
      <c r="X64">
        <f>HYPERLINK("https://klasma.github.io/Logging_0880/tillsyn/A 38083-2025 tillsynsbegäran.docx", "A 38083-2025")</f>
        <v/>
      </c>
      <c r="Y64">
        <f>HYPERLINK("https://klasma.github.io/Logging_0880/tillsynsmail/A 38083-2025 tillsynsbegäran mail.docx", "A 38083-2025")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46043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46043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46043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46043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46043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46043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46043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46043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46043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46043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46043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46043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46043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46043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46043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46043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46043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46043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46043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46043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46043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46043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46043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46043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46043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46043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46043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46043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46043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46043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46043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46043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46043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46043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46043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46043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46043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46043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46043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46043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46043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46043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46043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46043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46043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46043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46043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46043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46043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46043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5615-2021</t>
        </is>
      </c>
      <c r="B121" s="1" t="n">
        <v>44230</v>
      </c>
      <c r="C121" s="1" t="n">
        <v>46043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5619-2021</t>
        </is>
      </c>
      <c r="B122" s="1" t="n">
        <v>44230</v>
      </c>
      <c r="C122" s="1" t="n">
        <v>46043</v>
      </c>
      <c r="D122" t="inlineStr">
        <is>
          <t>KALMAR LÄN</t>
        </is>
      </c>
      <c r="E122" t="inlineStr">
        <is>
          <t>KALMAR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12867-2021</t>
        </is>
      </c>
      <c r="B123" s="1" t="n">
        <v>44271.41609953704</v>
      </c>
      <c r="C123" s="1" t="n">
        <v>46043</v>
      </c>
      <c r="D123" t="inlineStr">
        <is>
          <t>KALMAR LÄN</t>
        </is>
      </c>
      <c r="E123" t="inlineStr">
        <is>
          <t>KALMAR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3739-2022</t>
        </is>
      </c>
      <c r="B124" s="1" t="n">
        <v>44586</v>
      </c>
      <c r="C124" s="1" t="n">
        <v>46043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15928-2021</t>
        </is>
      </c>
      <c r="B125" s="1" t="n">
        <v>44287</v>
      </c>
      <c r="C125" s="1" t="n">
        <v>46043</v>
      </c>
      <c r="D125" t="inlineStr">
        <is>
          <t>KALMAR LÄN</t>
        </is>
      </c>
      <c r="E125" t="inlineStr">
        <is>
          <t>KALMAR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26633-2021</t>
        </is>
      </c>
      <c r="B126" s="1" t="n">
        <v>44348.69079861111</v>
      </c>
      <c r="C126" s="1" t="n">
        <v>46043</v>
      </c>
      <c r="D126" t="inlineStr">
        <is>
          <t>KALMAR LÄN</t>
        </is>
      </c>
      <c r="E126" t="inlineStr">
        <is>
          <t>KALMAR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47516-2021</t>
        </is>
      </c>
      <c r="B127" s="1" t="n">
        <v>44447</v>
      </c>
      <c r="C127" s="1" t="n">
        <v>46043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12319-2021</t>
        </is>
      </c>
      <c r="B128" s="1" t="n">
        <v>44267</v>
      </c>
      <c r="C128" s="1" t="n">
        <v>46043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49283-2021</t>
        </is>
      </c>
      <c r="B129" s="1" t="n">
        <v>44454</v>
      </c>
      <c r="C129" s="1" t="n">
        <v>46043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61961-2021</t>
        </is>
      </c>
      <c r="B130" s="1" t="n">
        <v>44502</v>
      </c>
      <c r="C130" s="1" t="n">
        <v>46043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7700-2021</t>
        </is>
      </c>
      <c r="B131" s="1" t="n">
        <v>44241</v>
      </c>
      <c r="C131" s="1" t="n">
        <v>46043</v>
      </c>
      <c r="D131" t="inlineStr">
        <is>
          <t>KALMAR LÄN</t>
        </is>
      </c>
      <c r="E131" t="inlineStr">
        <is>
          <t>KALMAR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46043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28634-2021</t>
        </is>
      </c>
      <c r="B133" s="1" t="n">
        <v>44357</v>
      </c>
      <c r="C133" s="1" t="n">
        <v>46043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46043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33580-2021</t>
        </is>
      </c>
      <c r="B135" s="1" t="n">
        <v>44377.95908564814</v>
      </c>
      <c r="C135" s="1" t="n">
        <v>46043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17865-2021</t>
        </is>
      </c>
      <c r="B136" s="1" t="n">
        <v>44301.35189814815</v>
      </c>
      <c r="C136" s="1" t="n">
        <v>46043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1653-2022</t>
        </is>
      </c>
      <c r="B137" s="1" t="n">
        <v>44574</v>
      </c>
      <c r="C137" s="1" t="n">
        <v>46043</v>
      </c>
      <c r="D137" t="inlineStr">
        <is>
          <t>KALMAR LÄN</t>
        </is>
      </c>
      <c r="E137" t="inlineStr">
        <is>
          <t>KALMAR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8210-2021</t>
        </is>
      </c>
      <c r="B138" s="1" t="n">
        <v>44244</v>
      </c>
      <c r="C138" s="1" t="n">
        <v>46043</v>
      </c>
      <c r="D138" t="inlineStr">
        <is>
          <t>KALMAR LÄN</t>
        </is>
      </c>
      <c r="E138" t="inlineStr">
        <is>
          <t>KALMAR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9871-2022</t>
        </is>
      </c>
      <c r="B139" s="1" t="n">
        <v>44620</v>
      </c>
      <c r="C139" s="1" t="n">
        <v>46043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27449-2021</t>
        </is>
      </c>
      <c r="B140" s="1" t="n">
        <v>44351</v>
      </c>
      <c r="C140" s="1" t="n">
        <v>46043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24929-2021</t>
        </is>
      </c>
      <c r="B141" s="1" t="n">
        <v>44341.4290625</v>
      </c>
      <c r="C141" s="1" t="n">
        <v>46043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18081-2021</t>
        </is>
      </c>
      <c r="B142" s="1" t="n">
        <v>44302</v>
      </c>
      <c r="C142" s="1" t="n">
        <v>46043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46043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51134-2021</t>
        </is>
      </c>
      <c r="B144" s="1" t="n">
        <v>44461.44216435185</v>
      </c>
      <c r="C144" s="1" t="n">
        <v>46043</v>
      </c>
      <c r="D144" t="inlineStr">
        <is>
          <t>KALMAR LÄN</t>
        </is>
      </c>
      <c r="E144" t="inlineStr">
        <is>
          <t>KALMAR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19529-2021</t>
        </is>
      </c>
      <c r="B145" s="1" t="n">
        <v>44312.38436342592</v>
      </c>
      <c r="C145" s="1" t="n">
        <v>46043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49751-2021</t>
        </is>
      </c>
      <c r="B146" s="1" t="n">
        <v>44455.55739583333</v>
      </c>
      <c r="C146" s="1" t="n">
        <v>46043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3394-2021</t>
        </is>
      </c>
      <c r="B147" s="1" t="n">
        <v>44218</v>
      </c>
      <c r="C147" s="1" t="n">
        <v>46043</v>
      </c>
      <c r="D147" t="inlineStr">
        <is>
          <t>KALMAR LÄN</t>
        </is>
      </c>
      <c r="E147" t="inlineStr">
        <is>
          <t>KALMAR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32921-2022</t>
        </is>
      </c>
      <c r="B148" s="1" t="n">
        <v>44784</v>
      </c>
      <c r="C148" s="1" t="n">
        <v>46043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43619-2021</t>
        </is>
      </c>
      <c r="B149" s="1" t="n">
        <v>44433.50366898148</v>
      </c>
      <c r="C149" s="1" t="n">
        <v>46043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31665-2021</t>
        </is>
      </c>
      <c r="B150" s="1" t="n">
        <v>44369</v>
      </c>
      <c r="C150" s="1" t="n">
        <v>46043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14478-2022</t>
        </is>
      </c>
      <c r="B151" s="1" t="n">
        <v>44654.98487268519</v>
      </c>
      <c r="C151" s="1" t="n">
        <v>46043</v>
      </c>
      <c r="D151" t="inlineStr">
        <is>
          <t>KALMAR LÄN</t>
        </is>
      </c>
      <c r="E151" t="inlineStr">
        <is>
          <t>KALMAR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22399-2021</t>
        </is>
      </c>
      <c r="B152" s="1" t="n">
        <v>44326.60537037037</v>
      </c>
      <c r="C152" s="1" t="n">
        <v>46043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48365-2022</t>
        </is>
      </c>
      <c r="B153" s="1" t="n">
        <v>44858.58140046296</v>
      </c>
      <c r="C153" s="1" t="n">
        <v>46043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44855.31458333333</v>
      </c>
      <c r="C154" s="1" t="n">
        <v>46043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44631-2021</t>
        </is>
      </c>
      <c r="B155" s="1" t="n">
        <v>44437.35085648148</v>
      </c>
      <c r="C155" s="1" t="n">
        <v>46043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25510-2022</t>
        </is>
      </c>
      <c r="B156" s="1" t="n">
        <v>44732</v>
      </c>
      <c r="C156" s="1" t="n">
        <v>46043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46043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46043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49282-2021</t>
        </is>
      </c>
      <c r="B159" s="1" t="n">
        <v>44454</v>
      </c>
      <c r="C159" s="1" t="n">
        <v>46043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46043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46043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7134-2021</t>
        </is>
      </c>
      <c r="B162" s="1" t="n">
        <v>44238</v>
      </c>
      <c r="C162" s="1" t="n">
        <v>46043</v>
      </c>
      <c r="D162" t="inlineStr">
        <is>
          <t>KALMAR LÄN</t>
        </is>
      </c>
      <c r="E162" t="inlineStr">
        <is>
          <t>KALMAR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44461.4503587963</v>
      </c>
      <c r="C163" s="1" t="n">
        <v>46043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22195-2021</t>
        </is>
      </c>
      <c r="B164" s="1" t="n">
        <v>44326.34189814814</v>
      </c>
      <c r="C164" s="1" t="n">
        <v>46043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46043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44858.57855324074</v>
      </c>
      <c r="C166" s="1" t="n">
        <v>46043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46043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64376-2021</t>
        </is>
      </c>
      <c r="B168" s="1" t="n">
        <v>44511</v>
      </c>
      <c r="C168" s="1" t="n">
        <v>46043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6642-2024</t>
        </is>
      </c>
      <c r="B169" s="1" t="n">
        <v>45341.6575</v>
      </c>
      <c r="C169" s="1" t="n">
        <v>46043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6643-2024</t>
        </is>
      </c>
      <c r="B170" s="1" t="n">
        <v>45341.65902777778</v>
      </c>
      <c r="C170" s="1" t="n">
        <v>46043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18847-2023</t>
        </is>
      </c>
      <c r="B171" s="1" t="n">
        <v>45044</v>
      </c>
      <c r="C171" s="1" t="n">
        <v>46043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46043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19993-2025</t>
        </is>
      </c>
      <c r="B173" s="1" t="n">
        <v>45771</v>
      </c>
      <c r="C173" s="1" t="n">
        <v>46043</v>
      </c>
      <c r="D173" t="inlineStr">
        <is>
          <t>KALMAR LÄN</t>
        </is>
      </c>
      <c r="E173" t="inlineStr">
        <is>
          <t>KALMAR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4182-2024</t>
        </is>
      </c>
      <c r="B174" s="1" t="n">
        <v>45324.24875</v>
      </c>
      <c r="C174" s="1" t="n">
        <v>46043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54806-2023</t>
        </is>
      </c>
      <c r="B175" s="1" t="n">
        <v>45236.51583333333</v>
      </c>
      <c r="C175" s="1" t="n">
        <v>46043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62281-2023</t>
        </is>
      </c>
      <c r="B176" s="1" t="n">
        <v>45267.64923611111</v>
      </c>
      <c r="C176" s="1" t="n">
        <v>46043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9649-2025</t>
        </is>
      </c>
      <c r="B177" s="1" t="n">
        <v>45716.26175925926</v>
      </c>
      <c r="C177" s="1" t="n">
        <v>46043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50055-2023</t>
        </is>
      </c>
      <c r="B178" s="1" t="n">
        <v>45215.52277777778</v>
      </c>
      <c r="C178" s="1" t="n">
        <v>46043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5575-2024</t>
        </is>
      </c>
      <c r="B179" s="1" t="n">
        <v>45334.4872800926</v>
      </c>
      <c r="C179" s="1" t="n">
        <v>46043</v>
      </c>
      <c r="D179" t="inlineStr">
        <is>
          <t>KALMAR LÄN</t>
        </is>
      </c>
      <c r="E179" t="inlineStr">
        <is>
          <t>KALMAR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48933-2023</t>
        </is>
      </c>
      <c r="B180" s="1" t="n">
        <v>45209.56659722222</v>
      </c>
      <c r="C180" s="1" t="n">
        <v>46043</v>
      </c>
      <c r="D180" t="inlineStr">
        <is>
          <t>KALMAR LÄN</t>
        </is>
      </c>
      <c r="E180" t="inlineStr">
        <is>
          <t>KALMAR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48943-2023</t>
        </is>
      </c>
      <c r="B181" s="1" t="n">
        <v>45209.57653935185</v>
      </c>
      <c r="C181" s="1" t="n">
        <v>46043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32499-2022</t>
        </is>
      </c>
      <c r="B182" s="1" t="n">
        <v>44782.6562037037</v>
      </c>
      <c r="C182" s="1" t="n">
        <v>46043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27471-2023</t>
        </is>
      </c>
      <c r="B183" s="1" t="n">
        <v>45097</v>
      </c>
      <c r="C183" s="1" t="n">
        <v>46043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26087-2023</t>
        </is>
      </c>
      <c r="B184" s="1" t="n">
        <v>45091</v>
      </c>
      <c r="C184" s="1" t="n">
        <v>46043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24055-2021</t>
        </is>
      </c>
      <c r="B185" s="1" t="n">
        <v>44336</v>
      </c>
      <c r="C185" s="1" t="n">
        <v>46043</v>
      </c>
      <c r="D185" t="inlineStr">
        <is>
          <t>KALMAR LÄN</t>
        </is>
      </c>
      <c r="E185" t="inlineStr">
        <is>
          <t>KALMAR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56510-2023</t>
        </is>
      </c>
      <c r="B186" s="1" t="n">
        <v>45243</v>
      </c>
      <c r="C186" s="1" t="n">
        <v>46043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47399-2025</t>
        </is>
      </c>
      <c r="B187" s="1" t="n">
        <v>45930</v>
      </c>
      <c r="C187" s="1" t="n">
        <v>46043</v>
      </c>
      <c r="D187" t="inlineStr">
        <is>
          <t>KALMAR LÄN</t>
        </is>
      </c>
      <c r="E187" t="inlineStr">
        <is>
          <t>KALMAR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12265-2024</t>
        </is>
      </c>
      <c r="B188" s="1" t="n">
        <v>45378.46670138889</v>
      </c>
      <c r="C188" s="1" t="n">
        <v>46043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7134-2021</t>
        </is>
      </c>
      <c r="B189" s="1" t="n">
        <v>44238</v>
      </c>
      <c r="C189" s="1" t="n">
        <v>46043</v>
      </c>
      <c r="D189" t="inlineStr">
        <is>
          <t>KALMAR LÄN</t>
        </is>
      </c>
      <c r="E189" t="inlineStr">
        <is>
          <t>KALMAR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58357-2023</t>
        </is>
      </c>
      <c r="B190" s="1" t="n">
        <v>45250.63819444444</v>
      </c>
      <c r="C190" s="1" t="n">
        <v>46043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23662-2024</t>
        </is>
      </c>
      <c r="B191" s="1" t="n">
        <v>45454.56966435185</v>
      </c>
      <c r="C191" s="1" t="n">
        <v>46043</v>
      </c>
      <c r="D191" t="inlineStr">
        <is>
          <t>KALMAR LÄN</t>
        </is>
      </c>
      <c r="E191" t="inlineStr">
        <is>
          <t>KALMAR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12389-2025</t>
        </is>
      </c>
      <c r="B192" s="1" t="n">
        <v>45730.39450231481</v>
      </c>
      <c r="C192" s="1" t="n">
        <v>46043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25877-2025</t>
        </is>
      </c>
      <c r="B193" s="1" t="n">
        <v>45804.49474537037</v>
      </c>
      <c r="C193" s="1" t="n">
        <v>46043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4762-2025</t>
        </is>
      </c>
      <c r="B194" s="1" t="n">
        <v>45688.48016203703</v>
      </c>
      <c r="C194" s="1" t="n">
        <v>46043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62457-2023</t>
        </is>
      </c>
      <c r="B195" s="1" t="n">
        <v>45268.50543981481</v>
      </c>
      <c r="C195" s="1" t="n">
        <v>46043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57940-2025</t>
        </is>
      </c>
      <c r="B196" s="1" t="n">
        <v>45982.30153935185</v>
      </c>
      <c r="C196" s="1" t="n">
        <v>46043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57489-2024</t>
        </is>
      </c>
      <c r="B197" s="1" t="n">
        <v>45630.3630787037</v>
      </c>
      <c r="C197" s="1" t="n">
        <v>46043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14058-2021</t>
        </is>
      </c>
      <c r="B198" s="1" t="n">
        <v>44277</v>
      </c>
      <c r="C198" s="1" t="n">
        <v>46043</v>
      </c>
      <c r="D198" t="inlineStr">
        <is>
          <t>KALMAR LÄN</t>
        </is>
      </c>
      <c r="E198" t="inlineStr">
        <is>
          <t>KALMAR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5903-2023</t>
        </is>
      </c>
      <c r="B199" s="1" t="n">
        <v>44963</v>
      </c>
      <c r="C199" s="1" t="n">
        <v>46043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13414-2024</t>
        </is>
      </c>
      <c r="B200" s="1" t="n">
        <v>45387.4628125</v>
      </c>
      <c r="C200" s="1" t="n">
        <v>46043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13416-2024</t>
        </is>
      </c>
      <c r="B201" s="1" t="n">
        <v>45387.46427083333</v>
      </c>
      <c r="C201" s="1" t="n">
        <v>46043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14410-2025</t>
        </is>
      </c>
      <c r="B202" s="1" t="n">
        <v>45741.47291666667</v>
      </c>
      <c r="C202" s="1" t="n">
        <v>46043</v>
      </c>
      <c r="D202" t="inlineStr">
        <is>
          <t>KALMAR LÄN</t>
        </is>
      </c>
      <c r="E202" t="inlineStr">
        <is>
          <t>KALMAR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11812-2023</t>
        </is>
      </c>
      <c r="B203" s="1" t="n">
        <v>44994.74642361111</v>
      </c>
      <c r="C203" s="1" t="n">
        <v>46043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46043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21628-2025</t>
        </is>
      </c>
      <c r="B205" s="1" t="n">
        <v>45783.42328703704</v>
      </c>
      <c r="C205" s="1" t="n">
        <v>46043</v>
      </c>
      <c r="D205" t="inlineStr">
        <is>
          <t>KALMAR LÄN</t>
        </is>
      </c>
      <c r="E205" t="inlineStr">
        <is>
          <t>KALMAR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51979-2022</t>
        </is>
      </c>
      <c r="B206" s="1" t="n">
        <v>44872.77071759259</v>
      </c>
      <c r="C206" s="1" t="n">
        <v>46043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60851-2022</t>
        </is>
      </c>
      <c r="B207" s="1" t="n">
        <v>44914.51458333333</v>
      </c>
      <c r="C207" s="1" t="n">
        <v>46043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217-2026</t>
        </is>
      </c>
      <c r="B208" s="1" t="n">
        <v>46026.66100694444</v>
      </c>
      <c r="C208" s="1" t="n">
        <v>46043</v>
      </c>
      <c r="D208" t="inlineStr">
        <is>
          <t>KALMAR LÄN</t>
        </is>
      </c>
      <c r="E208" t="inlineStr">
        <is>
          <t>KALMAR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24588-2023</t>
        </is>
      </c>
      <c r="B209" s="1" t="n">
        <v>45083</v>
      </c>
      <c r="C209" s="1" t="n">
        <v>46043</v>
      </c>
      <c r="D209" t="inlineStr">
        <is>
          <t>KALMAR LÄN</t>
        </is>
      </c>
      <c r="E209" t="inlineStr">
        <is>
          <t>KALMAR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24002-2025</t>
        </is>
      </c>
      <c r="B210" s="1" t="n">
        <v>45796.42775462963</v>
      </c>
      <c r="C210" s="1" t="n">
        <v>46043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22825-2025</t>
        </is>
      </c>
      <c r="B211" s="1" t="n">
        <v>45789.81270833333</v>
      </c>
      <c r="C211" s="1" t="n">
        <v>46043</v>
      </c>
      <c r="D211" t="inlineStr">
        <is>
          <t>KALMAR LÄN</t>
        </is>
      </c>
      <c r="E211" t="inlineStr">
        <is>
          <t>KALMAR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58800-2024</t>
        </is>
      </c>
      <c r="B212" s="1" t="n">
        <v>45636.32344907407</v>
      </c>
      <c r="C212" s="1" t="n">
        <v>46043</v>
      </c>
      <c r="D212" t="inlineStr">
        <is>
          <t>KALMAR LÄN</t>
        </is>
      </c>
      <c r="E212" t="inlineStr">
        <is>
          <t>KALMAR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30504-2024</t>
        </is>
      </c>
      <c r="B213" s="1" t="n">
        <v>45492.44469907408</v>
      </c>
      <c r="C213" s="1" t="n">
        <v>46043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24001-2025</t>
        </is>
      </c>
      <c r="B214" s="1" t="n">
        <v>45796.42703703704</v>
      </c>
      <c r="C214" s="1" t="n">
        <v>46043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27600-2023</t>
        </is>
      </c>
      <c r="B215" s="1" t="n">
        <v>45097</v>
      </c>
      <c r="C215" s="1" t="n">
        <v>46043</v>
      </c>
      <c r="D215" t="inlineStr">
        <is>
          <t>KALMAR LÄN</t>
        </is>
      </c>
      <c r="E215" t="inlineStr">
        <is>
          <t>KALMAR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39688-2025</t>
        </is>
      </c>
      <c r="B216" s="1" t="n">
        <v>45890.66949074074</v>
      </c>
      <c r="C216" s="1" t="n">
        <v>46043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23561-2025</t>
        </is>
      </c>
      <c r="B217" s="1" t="n">
        <v>45792.58431712963</v>
      </c>
      <c r="C217" s="1" t="n">
        <v>46043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39701-2025</t>
        </is>
      </c>
      <c r="B218" s="1" t="n">
        <v>45890</v>
      </c>
      <c r="C218" s="1" t="n">
        <v>46043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1598-2024</t>
        </is>
      </c>
      <c r="B219" s="1" t="n">
        <v>45306</v>
      </c>
      <c r="C219" s="1" t="n">
        <v>46043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23565-2025</t>
        </is>
      </c>
      <c r="B220" s="1" t="n">
        <v>45792.5966550926</v>
      </c>
      <c r="C220" s="1" t="n">
        <v>46043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27109-2023</t>
        </is>
      </c>
      <c r="B221" s="1" t="n">
        <v>45096.42900462963</v>
      </c>
      <c r="C221" s="1" t="n">
        <v>46043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34736-2023</t>
        </is>
      </c>
      <c r="B222" s="1" t="n">
        <v>45141</v>
      </c>
      <c r="C222" s="1" t="n">
        <v>46043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6434-2024</t>
        </is>
      </c>
      <c r="B223" s="1" t="n">
        <v>45338</v>
      </c>
      <c r="C223" s="1" t="n">
        <v>46043</v>
      </c>
      <c r="D223" t="inlineStr">
        <is>
          <t>KALMAR LÄN</t>
        </is>
      </c>
      <c r="E223" t="inlineStr">
        <is>
          <t>KALMAR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38180-2021</t>
        </is>
      </c>
      <c r="B224" s="1" t="n">
        <v>44405</v>
      </c>
      <c r="C224" s="1" t="n">
        <v>46043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47891-2022</t>
        </is>
      </c>
      <c r="B225" s="1" t="n">
        <v>44855</v>
      </c>
      <c r="C225" s="1" t="n">
        <v>46043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23187-2025</t>
        </is>
      </c>
      <c r="B226" s="1" t="n">
        <v>45791.44459490741</v>
      </c>
      <c r="C226" s="1" t="n">
        <v>46043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59455-2023</t>
        </is>
      </c>
      <c r="B227" s="1" t="n">
        <v>45254.37960648148</v>
      </c>
      <c r="C227" s="1" t="n">
        <v>46043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38729-2023</t>
        </is>
      </c>
      <c r="B228" s="1" t="n">
        <v>45163</v>
      </c>
      <c r="C228" s="1" t="n">
        <v>46043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HYPERLINK("https://klasma.github.io/Logging_0880/knärot/A 38729-2023 karta knärot.png", "A 38729-2023")</f>
        <v/>
      </c>
      <c r="V228">
        <f>HYPERLINK("https://klasma.github.io/Logging_0880/klagomål/A 38729-2023 FSC-klagomål.docx", "A 38729-2023")</f>
        <v/>
      </c>
      <c r="W228">
        <f>HYPERLINK("https://klasma.github.io/Logging_0880/klagomålsmail/A 38729-2023 FSC-klagomål mail.docx", "A 38729-2023")</f>
        <v/>
      </c>
      <c r="X228">
        <f>HYPERLINK("https://klasma.github.io/Logging_0880/tillsyn/A 38729-2023 tillsynsbegäran.docx", "A 38729-2023")</f>
        <v/>
      </c>
      <c r="Y228">
        <f>HYPERLINK("https://klasma.github.io/Logging_0880/tillsynsmail/A 38729-2023 tillsynsbegäran mail.docx", "A 38729-2023")</f>
        <v/>
      </c>
    </row>
    <row r="229" ht="15" customHeight="1">
      <c r="A229" t="inlineStr">
        <is>
          <t>A 23543-2025</t>
        </is>
      </c>
      <c r="B229" s="1" t="n">
        <v>45792.56350694445</v>
      </c>
      <c r="C229" s="1" t="n">
        <v>46043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27947-2024</t>
        </is>
      </c>
      <c r="B230" s="1" t="n">
        <v>45476.32041666667</v>
      </c>
      <c r="C230" s="1" t="n">
        <v>46043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63279-2023</t>
        </is>
      </c>
      <c r="B231" s="1" t="n">
        <v>45273.86098379629</v>
      </c>
      <c r="C231" s="1" t="n">
        <v>46043</v>
      </c>
      <c r="D231" t="inlineStr">
        <is>
          <t>KALMAR LÄN</t>
        </is>
      </c>
      <c r="E231" t="inlineStr">
        <is>
          <t>KALMAR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57654-2023</t>
        </is>
      </c>
      <c r="B232" s="1" t="n">
        <v>45246.60998842592</v>
      </c>
      <c r="C232" s="1" t="n">
        <v>46043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57658-2023</t>
        </is>
      </c>
      <c r="B233" s="1" t="n">
        <v>45246.61422453704</v>
      </c>
      <c r="C233" s="1" t="n">
        <v>46043</v>
      </c>
      <c r="D233" t="inlineStr">
        <is>
          <t>KALMAR LÄN</t>
        </is>
      </c>
      <c r="E233" t="inlineStr">
        <is>
          <t>KALMAR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57216-2022</t>
        </is>
      </c>
      <c r="B234" s="1" t="n">
        <v>44895.65763888889</v>
      </c>
      <c r="C234" s="1" t="n">
        <v>46043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28-2022</t>
        </is>
      </c>
      <c r="B235" s="1" t="n">
        <v>44564.34321759259</v>
      </c>
      <c r="C235" s="1" t="n">
        <v>46043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2318-2026</t>
        </is>
      </c>
      <c r="B236" s="1" t="n">
        <v>46036.59960648148</v>
      </c>
      <c r="C236" s="1" t="n">
        <v>46043</v>
      </c>
      <c r="D236" t="inlineStr">
        <is>
          <t>KALMAR LÄN</t>
        </is>
      </c>
      <c r="E236" t="inlineStr">
        <is>
          <t>KALMAR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41629-2025</t>
        </is>
      </c>
      <c r="B237" s="1" t="n">
        <v>45901.85744212963</v>
      </c>
      <c r="C237" s="1" t="n">
        <v>46043</v>
      </c>
      <c r="D237" t="inlineStr">
        <is>
          <t>KALMAR LÄN</t>
        </is>
      </c>
      <c r="E237" t="inlineStr">
        <is>
          <t>KALMAR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60317-2025</t>
        </is>
      </c>
      <c r="B238" s="1" t="n">
        <v>45994.71613425926</v>
      </c>
      <c r="C238" s="1" t="n">
        <v>46043</v>
      </c>
      <c r="D238" t="inlineStr">
        <is>
          <t>KALMAR LÄN</t>
        </is>
      </c>
      <c r="E238" t="inlineStr">
        <is>
          <t>KALMAR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11614-2025</t>
        </is>
      </c>
      <c r="B239" s="1" t="n">
        <v>45727.44655092592</v>
      </c>
      <c r="C239" s="1" t="n">
        <v>46043</v>
      </c>
      <c r="D239" t="inlineStr">
        <is>
          <t>KALMAR LÄN</t>
        </is>
      </c>
      <c r="E239" t="inlineStr">
        <is>
          <t>KALMAR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66992-2021</t>
        </is>
      </c>
      <c r="B240" s="1" t="n">
        <v>44522</v>
      </c>
      <c r="C240" s="1" t="n">
        <v>46043</v>
      </c>
      <c r="D240" t="inlineStr">
        <is>
          <t>KALMAR LÄN</t>
        </is>
      </c>
      <c r="E240" t="inlineStr">
        <is>
          <t>KALMAR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10731-2023</t>
        </is>
      </c>
      <c r="B241" s="1" t="n">
        <v>44988.67706018518</v>
      </c>
      <c r="C241" s="1" t="n">
        <v>46043</v>
      </c>
      <c r="D241" t="inlineStr">
        <is>
          <t>KALMAR LÄN</t>
        </is>
      </c>
      <c r="E241" t="inlineStr">
        <is>
          <t>KALMAR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49830-2022</t>
        </is>
      </c>
      <c r="B242" s="1" t="n">
        <v>44862</v>
      </c>
      <c r="C242" s="1" t="n">
        <v>46043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41941-2025</t>
        </is>
      </c>
      <c r="B243" s="1" t="n">
        <v>45903</v>
      </c>
      <c r="C243" s="1" t="n">
        <v>46043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25202-2023</t>
        </is>
      </c>
      <c r="B244" s="1" t="n">
        <v>45086.58806712963</v>
      </c>
      <c r="C244" s="1" t="n">
        <v>46043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59868-2025</t>
        </is>
      </c>
      <c r="B245" s="1" t="n">
        <v>45992.88173611111</v>
      </c>
      <c r="C245" s="1" t="n">
        <v>46043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44930-2024</t>
        </is>
      </c>
      <c r="B246" s="1" t="n">
        <v>45575.41082175926</v>
      </c>
      <c r="C246" s="1" t="n">
        <v>46043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2185-2026</t>
        </is>
      </c>
      <c r="B247" s="1" t="n">
        <v>46036.46270833333</v>
      </c>
      <c r="C247" s="1" t="n">
        <v>46043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36631-2023</t>
        </is>
      </c>
      <c r="B248" s="1" t="n">
        <v>45153</v>
      </c>
      <c r="C248" s="1" t="n">
        <v>46043</v>
      </c>
      <c r="D248" t="inlineStr">
        <is>
          <t>KALMAR LÄN</t>
        </is>
      </c>
      <c r="E248" t="inlineStr">
        <is>
          <t>KALMAR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19541-2023</t>
        </is>
      </c>
      <c r="B249" s="1" t="n">
        <v>45050</v>
      </c>
      <c r="C249" s="1" t="n">
        <v>46043</v>
      </c>
      <c r="D249" t="inlineStr">
        <is>
          <t>KALMAR LÄN</t>
        </is>
      </c>
      <c r="E249" t="inlineStr">
        <is>
          <t>KALMAR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43340-2025</t>
        </is>
      </c>
      <c r="B250" s="1" t="n">
        <v>45910.7499537037</v>
      </c>
      <c r="C250" s="1" t="n">
        <v>46043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59958-2022</t>
        </is>
      </c>
      <c r="B251" s="1" t="n">
        <v>44909</v>
      </c>
      <c r="C251" s="1" t="n">
        <v>46043</v>
      </c>
      <c r="D251" t="inlineStr">
        <is>
          <t>KALMAR LÄN</t>
        </is>
      </c>
      <c r="E251" t="inlineStr">
        <is>
          <t>KALMAR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33141-2025</t>
        </is>
      </c>
      <c r="B252" s="1" t="n">
        <v>45840.52256944445</v>
      </c>
      <c r="C252" s="1" t="n">
        <v>46043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62455-2022</t>
        </is>
      </c>
      <c r="B253" s="1" t="n">
        <v>44924</v>
      </c>
      <c r="C253" s="1" t="n">
        <v>46043</v>
      </c>
      <c r="D253" t="inlineStr">
        <is>
          <t>KALMAR LÄN</t>
        </is>
      </c>
      <c r="E253" t="inlineStr">
        <is>
          <t>KALMAR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2699-2026</t>
        </is>
      </c>
      <c r="B254" s="1" t="n">
        <v>46037.67871527778</v>
      </c>
      <c r="C254" s="1" t="n">
        <v>46043</v>
      </c>
      <c r="D254" t="inlineStr">
        <is>
          <t>KALMAR LÄN</t>
        </is>
      </c>
      <c r="E254" t="inlineStr">
        <is>
          <t>KALMAR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35533-2025</t>
        </is>
      </c>
      <c r="B255" s="1" t="n">
        <v>45856.43655092592</v>
      </c>
      <c r="C255" s="1" t="n">
        <v>46043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43892-2025</t>
        </is>
      </c>
      <c r="B256" s="1" t="n">
        <v>45912.70927083334</v>
      </c>
      <c r="C256" s="1" t="n">
        <v>46043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60807-2022</t>
        </is>
      </c>
      <c r="B257" s="1" t="n">
        <v>44914.45517361111</v>
      </c>
      <c r="C257" s="1" t="n">
        <v>46043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43891-2025</t>
        </is>
      </c>
      <c r="B258" s="1" t="n">
        <v>45912.7087962963</v>
      </c>
      <c r="C258" s="1" t="n">
        <v>46043</v>
      </c>
      <c r="D258" t="inlineStr">
        <is>
          <t>KALMAR LÄN</t>
        </is>
      </c>
      <c r="E258" t="inlineStr">
        <is>
          <t>KALMAR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39253-2021</t>
        </is>
      </c>
      <c r="B259" s="1" t="n">
        <v>44413</v>
      </c>
      <c r="C259" s="1" t="n">
        <v>46043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24272-2025</t>
        </is>
      </c>
      <c r="B260" s="1" t="n">
        <v>45797.43725694445</v>
      </c>
      <c r="C260" s="1" t="n">
        <v>46043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39093-2024</t>
        </is>
      </c>
      <c r="B261" s="1" t="n">
        <v>45548.55480324074</v>
      </c>
      <c r="C261" s="1" t="n">
        <v>46043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44155-2025</t>
        </is>
      </c>
      <c r="B262" s="1" t="n">
        <v>45915.59504629629</v>
      </c>
      <c r="C262" s="1" t="n">
        <v>46043</v>
      </c>
      <c r="D262" t="inlineStr">
        <is>
          <t>KALMAR LÄN</t>
        </is>
      </c>
      <c r="E262" t="inlineStr">
        <is>
          <t>KALMAR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44172-2025</t>
        </is>
      </c>
      <c r="B263" s="1" t="n">
        <v>45915.60172453704</v>
      </c>
      <c r="C263" s="1" t="n">
        <v>46043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44206-2025</t>
        </is>
      </c>
      <c r="B264" s="1" t="n">
        <v>45915.62736111111</v>
      </c>
      <c r="C264" s="1" t="n">
        <v>46043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39363-2024</t>
        </is>
      </c>
      <c r="B265" s="1" t="n">
        <v>45551.46702546296</v>
      </c>
      <c r="C265" s="1" t="n">
        <v>46043</v>
      </c>
      <c r="D265" t="inlineStr">
        <is>
          <t>KALMAR LÄN</t>
        </is>
      </c>
      <c r="E265" t="inlineStr">
        <is>
          <t>KALMAR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44695-2025</t>
        </is>
      </c>
      <c r="B266" s="1" t="n">
        <v>45917.5968287037</v>
      </c>
      <c r="C266" s="1" t="n">
        <v>46043</v>
      </c>
      <c r="D266" t="inlineStr">
        <is>
          <t>KALMAR LÄN</t>
        </is>
      </c>
      <c r="E266" t="inlineStr">
        <is>
          <t>KALMAR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44734-2025</t>
        </is>
      </c>
      <c r="B267" s="1" t="n">
        <v>45917.65667824074</v>
      </c>
      <c r="C267" s="1" t="n">
        <v>46043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5460-2022</t>
        </is>
      </c>
      <c r="B268" s="1" t="n">
        <v>44595</v>
      </c>
      <c r="C268" s="1" t="n">
        <v>46043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5464-2022</t>
        </is>
      </c>
      <c r="B269" s="1" t="n">
        <v>44595</v>
      </c>
      <c r="C269" s="1" t="n">
        <v>46043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16331-2023</t>
        </is>
      </c>
      <c r="B270" s="1" t="n">
        <v>45028</v>
      </c>
      <c r="C270" s="1" t="n">
        <v>46043</v>
      </c>
      <c r="D270" t="inlineStr">
        <is>
          <t>KALMAR LÄN</t>
        </is>
      </c>
      <c r="E270" t="inlineStr">
        <is>
          <t>KALMAR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61927-2021</t>
        </is>
      </c>
      <c r="B271" s="1" t="n">
        <v>44502</v>
      </c>
      <c r="C271" s="1" t="n">
        <v>46043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17139-2025</t>
        </is>
      </c>
      <c r="B272" s="1" t="n">
        <v>45755.82037037037</v>
      </c>
      <c r="C272" s="1" t="n">
        <v>46043</v>
      </c>
      <c r="D272" t="inlineStr">
        <is>
          <t>KALMAR LÄN</t>
        </is>
      </c>
      <c r="E272" t="inlineStr">
        <is>
          <t>KALMAR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6043-2025</t>
        </is>
      </c>
      <c r="B273" s="1" t="n">
        <v>45695.66608796296</v>
      </c>
      <c r="C273" s="1" t="n">
        <v>46043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28987-2023</t>
        </is>
      </c>
      <c r="B274" s="1" t="n">
        <v>45104.62357638889</v>
      </c>
      <c r="C274" s="1" t="n">
        <v>46043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45708-2025</t>
        </is>
      </c>
      <c r="B275" s="1" t="n">
        <v>45923.42653935185</v>
      </c>
      <c r="C275" s="1" t="n">
        <v>46043</v>
      </c>
      <c r="D275" t="inlineStr">
        <is>
          <t>KALMAR LÄN</t>
        </is>
      </c>
      <c r="E275" t="inlineStr">
        <is>
          <t>KALMAR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45910-2025</t>
        </is>
      </c>
      <c r="B276" s="1" t="n">
        <v>45923.75641203704</v>
      </c>
      <c r="C276" s="1" t="n">
        <v>46043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46092-2025</t>
        </is>
      </c>
      <c r="B277" s="1" t="n">
        <v>45924.53162037037</v>
      </c>
      <c r="C277" s="1" t="n">
        <v>46043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44410-2024</t>
        </is>
      </c>
      <c r="B278" s="1" t="n">
        <v>45573.74909722222</v>
      </c>
      <c r="C278" s="1" t="n">
        <v>46043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45691-2025</t>
        </is>
      </c>
      <c r="B279" s="1" t="n">
        <v>45923.38517361111</v>
      </c>
      <c r="C279" s="1" t="n">
        <v>46043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7471-2023</t>
        </is>
      </c>
      <c r="B280" s="1" t="n">
        <v>44971.65065972223</v>
      </c>
      <c r="C280" s="1" t="n">
        <v>46043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71192-2021</t>
        </is>
      </c>
      <c r="B281" s="1" t="n">
        <v>44539.50920138889</v>
      </c>
      <c r="C281" s="1" t="n">
        <v>46043</v>
      </c>
      <c r="D281" t="inlineStr">
        <is>
          <t>KALMAR LÄN</t>
        </is>
      </c>
      <c r="E281" t="inlineStr">
        <is>
          <t>KALMAR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39748-2023</t>
        </is>
      </c>
      <c r="B282" s="1" t="n">
        <v>45167</v>
      </c>
      <c r="C282" s="1" t="n">
        <v>46043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47417-2025</t>
        </is>
      </c>
      <c r="B283" s="1" t="n">
        <v>45930.62087962963</v>
      </c>
      <c r="C283" s="1" t="n">
        <v>46043</v>
      </c>
      <c r="D283" t="inlineStr">
        <is>
          <t>KALMAR LÄN</t>
        </is>
      </c>
      <c r="E283" t="inlineStr">
        <is>
          <t>KALMAR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10345-2025</t>
        </is>
      </c>
      <c r="B284" s="1" t="n">
        <v>45720.50233796296</v>
      </c>
      <c r="C284" s="1" t="n">
        <v>46043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20658-2023</t>
        </is>
      </c>
      <c r="B285" s="1" t="n">
        <v>45058.34835648148</v>
      </c>
      <c r="C285" s="1" t="n">
        <v>46043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47087-2025</t>
        </is>
      </c>
      <c r="B286" s="1" t="n">
        <v>45929.64453703703</v>
      </c>
      <c r="C286" s="1" t="n">
        <v>46043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10365-2025</t>
        </is>
      </c>
      <c r="B287" s="1" t="n">
        <v>45720.54586805555</v>
      </c>
      <c r="C287" s="1" t="n">
        <v>46043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61285-2022</t>
        </is>
      </c>
      <c r="B288" s="1" t="n">
        <v>44915.61998842593</v>
      </c>
      <c r="C288" s="1" t="n">
        <v>46043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53388-2023</t>
        </is>
      </c>
      <c r="B289" s="1" t="n">
        <v>45229</v>
      </c>
      <c r="C289" s="1" t="n">
        <v>46043</v>
      </c>
      <c r="D289" t="inlineStr">
        <is>
          <t>KALMAR LÄN</t>
        </is>
      </c>
      <c r="E289" t="inlineStr">
        <is>
          <t>KALMAR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44981-2021</t>
        </is>
      </c>
      <c r="B290" s="1" t="n">
        <v>44438</v>
      </c>
      <c r="C290" s="1" t="n">
        <v>46043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47875-2025</t>
        </is>
      </c>
      <c r="B291" s="1" t="n">
        <v>45932.4553125</v>
      </c>
      <c r="C291" s="1" t="n">
        <v>46043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6732-2021</t>
        </is>
      </c>
      <c r="B292" s="1" t="n">
        <v>44236</v>
      </c>
      <c r="C292" s="1" t="n">
        <v>46043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6756-2021</t>
        </is>
      </c>
      <c r="B293" s="1" t="n">
        <v>44236</v>
      </c>
      <c r="C293" s="1" t="n">
        <v>46043</v>
      </c>
      <c r="D293" t="inlineStr">
        <is>
          <t>KALMAR LÄN</t>
        </is>
      </c>
      <c r="E293" t="inlineStr">
        <is>
          <t>KALMAR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51152-2023</t>
        </is>
      </c>
      <c r="B294" s="1" t="n">
        <v>45219.3707175926</v>
      </c>
      <c r="C294" s="1" t="n">
        <v>46043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13724-2023</t>
        </is>
      </c>
      <c r="B295" s="1" t="n">
        <v>45007</v>
      </c>
      <c r="C295" s="1" t="n">
        <v>46043</v>
      </c>
      <c r="D295" t="inlineStr">
        <is>
          <t>KALMAR LÄN</t>
        </is>
      </c>
      <c r="E295" t="inlineStr">
        <is>
          <t>KALMAR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40929-2024</t>
        </is>
      </c>
      <c r="B296" s="1" t="n">
        <v>45558.64021990741</v>
      </c>
      <c r="C296" s="1" t="n">
        <v>46043</v>
      </c>
      <c r="D296" t="inlineStr">
        <is>
          <t>KALMAR LÄN</t>
        </is>
      </c>
      <c r="E296" t="inlineStr">
        <is>
          <t>KALMAR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24646-2024</t>
        </is>
      </c>
      <c r="B297" s="1" t="n">
        <v>45460.56112268518</v>
      </c>
      <c r="C297" s="1" t="n">
        <v>46043</v>
      </c>
      <c r="D297" t="inlineStr">
        <is>
          <t>KALMAR LÄN</t>
        </is>
      </c>
      <c r="E297" t="inlineStr">
        <is>
          <t>KALMAR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48225-2023</t>
        </is>
      </c>
      <c r="B298" s="1" t="n">
        <v>45205.49322916667</v>
      </c>
      <c r="C298" s="1" t="n">
        <v>46043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13571-2023</t>
        </is>
      </c>
      <c r="B299" s="1" t="n">
        <v>45006.5191087963</v>
      </c>
      <c r="C299" s="1" t="n">
        <v>46043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5332-2023</t>
        </is>
      </c>
      <c r="B300" s="1" t="n">
        <v>44959.58509259259</v>
      </c>
      <c r="C300" s="1" t="n">
        <v>46043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21384-2023</t>
        </is>
      </c>
      <c r="B301" s="1" t="n">
        <v>45061</v>
      </c>
      <c r="C301" s="1" t="n">
        <v>46043</v>
      </c>
      <c r="D301" t="inlineStr">
        <is>
          <t>KALMAR LÄN</t>
        </is>
      </c>
      <c r="E301" t="inlineStr">
        <is>
          <t>KALMAR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26097-2023</t>
        </is>
      </c>
      <c r="B302" s="1" t="n">
        <v>45091</v>
      </c>
      <c r="C302" s="1" t="n">
        <v>46043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37433-2023</t>
        </is>
      </c>
      <c r="B303" s="1" t="n">
        <v>45156.64706018518</v>
      </c>
      <c r="C303" s="1" t="n">
        <v>46043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20230-2025</t>
        </is>
      </c>
      <c r="B304" s="1" t="n">
        <v>45772</v>
      </c>
      <c r="C304" s="1" t="n">
        <v>46043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38781-2022</t>
        </is>
      </c>
      <c r="B305" s="1" t="n">
        <v>44816.42498842593</v>
      </c>
      <c r="C305" s="1" t="n">
        <v>46043</v>
      </c>
      <c r="D305" t="inlineStr">
        <is>
          <t>KALMAR LÄN</t>
        </is>
      </c>
      <c r="E305" t="inlineStr">
        <is>
          <t>KALMAR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46043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26322-2025</t>
        </is>
      </c>
      <c r="B307" s="1" t="n">
        <v>45805.66190972222</v>
      </c>
      <c r="C307" s="1" t="n">
        <v>46043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10926-2025</t>
        </is>
      </c>
      <c r="B308" s="1" t="n">
        <v>45722.85125</v>
      </c>
      <c r="C308" s="1" t="n">
        <v>46043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49518-2025</t>
        </is>
      </c>
      <c r="B309" s="1" t="n">
        <v>45939.38967592592</v>
      </c>
      <c r="C309" s="1" t="n">
        <v>46043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49521-2025</t>
        </is>
      </c>
      <c r="B310" s="1" t="n">
        <v>45939.39587962963</v>
      </c>
      <c r="C310" s="1" t="n">
        <v>46043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55992-2024</t>
        </is>
      </c>
      <c r="B311" s="1" t="n">
        <v>45623.68888888889</v>
      </c>
      <c r="C311" s="1" t="n">
        <v>46043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11732-2023</t>
        </is>
      </c>
      <c r="B312" s="1" t="n">
        <v>44994</v>
      </c>
      <c r="C312" s="1" t="n">
        <v>46043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11735-2023</t>
        </is>
      </c>
      <c r="B313" s="1" t="n">
        <v>44994</v>
      </c>
      <c r="C313" s="1" t="n">
        <v>46043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56125-2024</t>
        </is>
      </c>
      <c r="B314" s="1" t="n">
        <v>45624.47252314815</v>
      </c>
      <c r="C314" s="1" t="n">
        <v>46043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11409-2023</t>
        </is>
      </c>
      <c r="B315" s="1" t="n">
        <v>44993.50293981482</v>
      </c>
      <c r="C315" s="1" t="n">
        <v>46043</v>
      </c>
      <c r="D315" t="inlineStr">
        <is>
          <t>KALMAR LÄN</t>
        </is>
      </c>
      <c r="E315" t="inlineStr">
        <is>
          <t>KALMAR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11417-2023</t>
        </is>
      </c>
      <c r="B316" s="1" t="n">
        <v>44993.51064814815</v>
      </c>
      <c r="C316" s="1" t="n">
        <v>46043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59957-2022</t>
        </is>
      </c>
      <c r="B317" s="1" t="n">
        <v>44909.39930555555</v>
      </c>
      <c r="C317" s="1" t="n">
        <v>46043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50937-2025</t>
        </is>
      </c>
      <c r="B318" s="1" t="n">
        <v>45946.69854166666</v>
      </c>
      <c r="C318" s="1" t="n">
        <v>46043</v>
      </c>
      <c r="D318" t="inlineStr">
        <is>
          <t>KALMAR LÄN</t>
        </is>
      </c>
      <c r="E318" t="inlineStr">
        <is>
          <t>KALMAR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56121-2024</t>
        </is>
      </c>
      <c r="B319" s="1" t="n">
        <v>45624.46776620371</v>
      </c>
      <c r="C319" s="1" t="n">
        <v>46043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12844-2021</t>
        </is>
      </c>
      <c r="B320" s="1" t="n">
        <v>44271</v>
      </c>
      <c r="C320" s="1" t="n">
        <v>46043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12869-2021</t>
        </is>
      </c>
      <c r="B321" s="1" t="n">
        <v>44271</v>
      </c>
      <c r="C321" s="1" t="n">
        <v>46043</v>
      </c>
      <c r="D321" t="inlineStr">
        <is>
          <t>KALMAR LÄN</t>
        </is>
      </c>
      <c r="E321" t="inlineStr">
        <is>
          <t>KALMAR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56293-2024</t>
        </is>
      </c>
      <c r="B322" s="1" t="n">
        <v>45624.68168981482</v>
      </c>
      <c r="C322" s="1" t="n">
        <v>46043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56119-2024</t>
        </is>
      </c>
      <c r="B323" s="1" t="n">
        <v>45624.46452546296</v>
      </c>
      <c r="C323" s="1" t="n">
        <v>46043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4026-2023</t>
        </is>
      </c>
      <c r="B324" s="1" t="n">
        <v>44952.55995370371</v>
      </c>
      <c r="C324" s="1" t="n">
        <v>46043</v>
      </c>
      <c r="D324" t="inlineStr">
        <is>
          <t>KALMAR LÄN</t>
        </is>
      </c>
      <c r="E324" t="inlineStr">
        <is>
          <t>KALMAR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6539-2023</t>
        </is>
      </c>
      <c r="B325" s="1" t="n">
        <v>44966.42866898148</v>
      </c>
      <c r="C325" s="1" t="n">
        <v>46043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51145-2025</t>
        </is>
      </c>
      <c r="B326" s="1" t="n">
        <v>45947.56983796296</v>
      </c>
      <c r="C326" s="1" t="n">
        <v>46043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9712-2023</t>
        </is>
      </c>
      <c r="B327" s="1" t="n">
        <v>44984.48538194445</v>
      </c>
      <c r="C327" s="1" t="n">
        <v>46043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HYPERLINK("https://klasma.github.io/Logging_0880/knärot/A 9712-2023 karta knärot.png", "A 9712-2023")</f>
        <v/>
      </c>
      <c r="V327">
        <f>HYPERLINK("https://klasma.github.io/Logging_0880/klagomål/A 9712-2023 FSC-klagomål.docx", "A 9712-2023")</f>
        <v/>
      </c>
      <c r="W327">
        <f>HYPERLINK("https://klasma.github.io/Logging_0880/klagomålsmail/A 9712-2023 FSC-klagomål mail.docx", "A 9712-2023")</f>
        <v/>
      </c>
      <c r="X327">
        <f>HYPERLINK("https://klasma.github.io/Logging_0880/tillsyn/A 9712-2023 tillsynsbegäran.docx", "A 9712-2023")</f>
        <v/>
      </c>
      <c r="Y327">
        <f>HYPERLINK("https://klasma.github.io/Logging_0880/tillsynsmail/A 9712-2023 tillsynsbegäran mail.docx", "A 9712-2023")</f>
        <v/>
      </c>
    </row>
    <row r="328" ht="15" customHeight="1">
      <c r="A328" t="inlineStr">
        <is>
          <t>A 9727-2023</t>
        </is>
      </c>
      <c r="B328" s="1" t="n">
        <v>44984.51159722222</v>
      </c>
      <c r="C328" s="1" t="n">
        <v>46043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51100-2025</t>
        </is>
      </c>
      <c r="B329" s="1" t="n">
        <v>45947.48684027778</v>
      </c>
      <c r="C329" s="1" t="n">
        <v>46043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51143-2025</t>
        </is>
      </c>
      <c r="B330" s="1" t="n">
        <v>45947.56736111111</v>
      </c>
      <c r="C330" s="1" t="n">
        <v>46043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7742-2023</t>
        </is>
      </c>
      <c r="B331" s="1" t="n">
        <v>44973.35048611111</v>
      </c>
      <c r="C331" s="1" t="n">
        <v>46043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51144-2025</t>
        </is>
      </c>
      <c r="B332" s="1" t="n">
        <v>45947.56894675926</v>
      </c>
      <c r="C332" s="1" t="n">
        <v>46043</v>
      </c>
      <c r="D332" t="inlineStr">
        <is>
          <t>KALMAR LÄN</t>
        </is>
      </c>
      <c r="E332" t="inlineStr">
        <is>
          <t>KALMAR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54745-2024</t>
        </is>
      </c>
      <c r="B333" s="1" t="n">
        <v>45618.44626157408</v>
      </c>
      <c r="C333" s="1" t="n">
        <v>46043</v>
      </c>
      <c r="D333" t="inlineStr">
        <is>
          <t>KALMAR LÄN</t>
        </is>
      </c>
      <c r="E333" t="inlineStr">
        <is>
          <t>KALMAR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52066-2025</t>
        </is>
      </c>
      <c r="B334" s="1" t="n">
        <v>45952.63920138889</v>
      </c>
      <c r="C334" s="1" t="n">
        <v>46043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51898-2025</t>
        </is>
      </c>
      <c r="B335" s="1" t="n">
        <v>45952.44096064815</v>
      </c>
      <c r="C335" s="1" t="n">
        <v>46043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12925-2023</t>
        </is>
      </c>
      <c r="B336" s="1" t="n">
        <v>45001</v>
      </c>
      <c r="C336" s="1" t="n">
        <v>46043</v>
      </c>
      <c r="D336" t="inlineStr">
        <is>
          <t>KALMAR LÄN</t>
        </is>
      </c>
      <c r="E336" t="inlineStr">
        <is>
          <t>KALMAR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51985-2025</t>
        </is>
      </c>
      <c r="B337" s="1" t="n">
        <v>45952.5759837963</v>
      </c>
      <c r="C337" s="1" t="n">
        <v>46043</v>
      </c>
      <c r="D337" t="inlineStr">
        <is>
          <t>KALMAR LÄN</t>
        </is>
      </c>
      <c r="E337" t="inlineStr">
        <is>
          <t>KALMAR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37797-2022</t>
        </is>
      </c>
      <c r="B338" s="1" t="n">
        <v>44810</v>
      </c>
      <c r="C338" s="1" t="n">
        <v>46043</v>
      </c>
      <c r="D338" t="inlineStr">
        <is>
          <t>KALMAR LÄN</t>
        </is>
      </c>
      <c r="E338" t="inlineStr">
        <is>
          <t>KALMAR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27250-2025</t>
        </is>
      </c>
      <c r="B339" s="1" t="n">
        <v>45812.4690162037</v>
      </c>
      <c r="C339" s="1" t="n">
        <v>46043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3566-2025</t>
        </is>
      </c>
      <c r="B340" s="1" t="n">
        <v>45680.68400462963</v>
      </c>
      <c r="C340" s="1" t="n">
        <v>46043</v>
      </c>
      <c r="D340" t="inlineStr">
        <is>
          <t>KALMAR LÄN</t>
        </is>
      </c>
      <c r="E340" t="inlineStr">
        <is>
          <t>KALMAR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11388-2023</t>
        </is>
      </c>
      <c r="B341" s="1" t="n">
        <v>44993</v>
      </c>
      <c r="C341" s="1" t="n">
        <v>46043</v>
      </c>
      <c r="D341" t="inlineStr">
        <is>
          <t>KALMAR LÄN</t>
        </is>
      </c>
      <c r="E341" t="inlineStr">
        <is>
          <t>KALMAR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25515-2022</t>
        </is>
      </c>
      <c r="B342" s="1" t="n">
        <v>44732.58428240741</v>
      </c>
      <c r="C342" s="1" t="n">
        <v>46043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62457-2022</t>
        </is>
      </c>
      <c r="B343" s="1" t="n">
        <v>44924</v>
      </c>
      <c r="C343" s="1" t="n">
        <v>46043</v>
      </c>
      <c r="D343" t="inlineStr">
        <is>
          <t>KALMAR LÄN</t>
        </is>
      </c>
      <c r="E343" t="inlineStr">
        <is>
          <t>KALMAR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38244-2023</t>
        </is>
      </c>
      <c r="B344" s="1" t="n">
        <v>45161.57517361111</v>
      </c>
      <c r="C344" s="1" t="n">
        <v>46043</v>
      </c>
      <c r="D344" t="inlineStr">
        <is>
          <t>KALMAR LÄN</t>
        </is>
      </c>
      <c r="E344" t="inlineStr">
        <is>
          <t>KALMAR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31334-2023</t>
        </is>
      </c>
      <c r="B345" s="1" t="n">
        <v>45114</v>
      </c>
      <c r="C345" s="1" t="n">
        <v>46043</v>
      </c>
      <c r="D345" t="inlineStr">
        <is>
          <t>KALMAR LÄN</t>
        </is>
      </c>
      <c r="E345" t="inlineStr">
        <is>
          <t>KALMAR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53045-2025</t>
        </is>
      </c>
      <c r="B346" s="1" t="n">
        <v>45958.35711805556</v>
      </c>
      <c r="C346" s="1" t="n">
        <v>46043</v>
      </c>
      <c r="D346" t="inlineStr">
        <is>
          <t>KALMAR LÄN</t>
        </is>
      </c>
      <c r="E346" t="inlineStr">
        <is>
          <t>KALMAR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17710-2025</t>
        </is>
      </c>
      <c r="B347" s="1" t="n">
        <v>45758.43954861111</v>
      </c>
      <c r="C347" s="1" t="n">
        <v>46043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38071-2024</t>
        </is>
      </c>
      <c r="B348" s="1" t="n">
        <v>45544</v>
      </c>
      <c r="C348" s="1" t="n">
        <v>46043</v>
      </c>
      <c r="D348" t="inlineStr">
        <is>
          <t>KALMAR LÄN</t>
        </is>
      </c>
      <c r="E348" t="inlineStr">
        <is>
          <t>KALMAR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10836-2025</t>
        </is>
      </c>
      <c r="B349" s="1" t="n">
        <v>45722.56913194444</v>
      </c>
      <c r="C349" s="1" t="n">
        <v>46043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53983-2025</t>
        </is>
      </c>
      <c r="B350" s="1" t="n">
        <v>45961.57341435185</v>
      </c>
      <c r="C350" s="1" t="n">
        <v>46043</v>
      </c>
      <c r="D350" t="inlineStr">
        <is>
          <t>KALMAR LÄN</t>
        </is>
      </c>
      <c r="E350" t="inlineStr">
        <is>
          <t>KALMAR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61957-2025</t>
        </is>
      </c>
      <c r="B351" s="1" t="n">
        <v>46003.58643518519</v>
      </c>
      <c r="C351" s="1" t="n">
        <v>46043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46395-2024</t>
        </is>
      </c>
      <c r="B352" s="1" t="n">
        <v>45582.40756944445</v>
      </c>
      <c r="C352" s="1" t="n">
        <v>46043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34855-2022</t>
        </is>
      </c>
      <c r="B353" s="1" t="n">
        <v>44796</v>
      </c>
      <c r="C353" s="1" t="n">
        <v>46043</v>
      </c>
      <c r="D353" t="inlineStr">
        <is>
          <t>KALMAR LÄN</t>
        </is>
      </c>
      <c r="E353" t="inlineStr">
        <is>
          <t>KALMAR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53837-2025</t>
        </is>
      </c>
      <c r="B354" s="1" t="n">
        <v>45961.3479050926</v>
      </c>
      <c r="C354" s="1" t="n">
        <v>46043</v>
      </c>
      <c r="D354" t="inlineStr">
        <is>
          <t>KALMAR LÄN</t>
        </is>
      </c>
      <c r="E354" t="inlineStr">
        <is>
          <t>KALMAR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62732-2025</t>
        </is>
      </c>
      <c r="B355" s="1" t="n">
        <v>46008.56133101852</v>
      </c>
      <c r="C355" s="1" t="n">
        <v>46043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40647-2022</t>
        </is>
      </c>
      <c r="B356" s="1" t="n">
        <v>44824.33912037037</v>
      </c>
      <c r="C356" s="1" t="n">
        <v>46043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54850-2025</t>
        </is>
      </c>
      <c r="B357" s="1" t="n">
        <v>45966.71322916666</v>
      </c>
      <c r="C357" s="1" t="n">
        <v>46043</v>
      </c>
      <c r="D357" t="inlineStr">
        <is>
          <t>KALMAR LÄN</t>
        </is>
      </c>
      <c r="E357" t="inlineStr">
        <is>
          <t>KALMAR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62731-2025</t>
        </is>
      </c>
      <c r="B358" s="1" t="n">
        <v>46008.5600462963</v>
      </c>
      <c r="C358" s="1" t="n">
        <v>46043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22-2022</t>
        </is>
      </c>
      <c r="B359" s="1" t="n">
        <v>44564.33684027778</v>
      </c>
      <c r="C359" s="1" t="n">
        <v>46043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28759-2025</t>
        </is>
      </c>
      <c r="B360" s="1" t="n">
        <v>45820.41298611111</v>
      </c>
      <c r="C360" s="1" t="n">
        <v>46043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28763-2025</t>
        </is>
      </c>
      <c r="B361" s="1" t="n">
        <v>45820.41796296297</v>
      </c>
      <c r="C361" s="1" t="n">
        <v>46043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26094-2023</t>
        </is>
      </c>
      <c r="B362" s="1" t="n">
        <v>45091</v>
      </c>
      <c r="C362" s="1" t="n">
        <v>46043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10614-2023</t>
        </is>
      </c>
      <c r="B363" s="1" t="n">
        <v>44988</v>
      </c>
      <c r="C363" s="1" t="n">
        <v>46043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57036-2021</t>
        </is>
      </c>
      <c r="B364" s="1" t="n">
        <v>44482</v>
      </c>
      <c r="C364" s="1" t="n">
        <v>46043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25397-2021</t>
        </is>
      </c>
      <c r="B365" s="1" t="n">
        <v>44342.63006944444</v>
      </c>
      <c r="C365" s="1" t="n">
        <v>46043</v>
      </c>
      <c r="D365" t="inlineStr">
        <is>
          <t>KALMAR LÄN</t>
        </is>
      </c>
      <c r="E365" t="inlineStr">
        <is>
          <t>KALMAR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29226-2025</t>
        </is>
      </c>
      <c r="B366" s="1" t="n">
        <v>45824.33850694444</v>
      </c>
      <c r="C366" s="1" t="n">
        <v>46043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53196-2023</t>
        </is>
      </c>
      <c r="B367" s="1" t="n">
        <v>45229.44927083333</v>
      </c>
      <c r="C367" s="1" t="n">
        <v>46043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16326-2023</t>
        </is>
      </c>
      <c r="B368" s="1" t="n">
        <v>45028.61766203704</v>
      </c>
      <c r="C368" s="1" t="n">
        <v>46043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42463-2022</t>
        </is>
      </c>
      <c r="B369" s="1" t="n">
        <v>44831</v>
      </c>
      <c r="C369" s="1" t="n">
        <v>46043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29271-2025</t>
        </is>
      </c>
      <c r="B370" s="1" t="n">
        <v>45824.4099537037</v>
      </c>
      <c r="C370" s="1" t="n">
        <v>46043</v>
      </c>
      <c r="D370" t="inlineStr">
        <is>
          <t>KALMAR LÄN</t>
        </is>
      </c>
      <c r="E370" t="inlineStr">
        <is>
          <t>KALMAR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62984-2025</t>
        </is>
      </c>
      <c r="B371" s="1" t="n">
        <v>46009.49219907408</v>
      </c>
      <c r="C371" s="1" t="n">
        <v>46043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10022-2025</t>
        </is>
      </c>
      <c r="B372" s="1" t="n">
        <v>45719.48662037037</v>
      </c>
      <c r="C372" s="1" t="n">
        <v>46043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10041-2025</t>
        </is>
      </c>
      <c r="B373" s="1" t="n">
        <v>45719.50247685185</v>
      </c>
      <c r="C373" s="1" t="n">
        <v>46043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32945-2021</t>
        </is>
      </c>
      <c r="B374" s="1" t="n">
        <v>44375</v>
      </c>
      <c r="C374" s="1" t="n">
        <v>46043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40449-2022</t>
        </is>
      </c>
      <c r="B375" s="1" t="n">
        <v>44823.49798611111</v>
      </c>
      <c r="C375" s="1" t="n">
        <v>46043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40457-2022</t>
        </is>
      </c>
      <c r="B376" s="1" t="n">
        <v>44823.51177083333</v>
      </c>
      <c r="C376" s="1" t="n">
        <v>46043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55625-2025</t>
        </is>
      </c>
      <c r="B377" s="1" t="n">
        <v>45972.31782407407</v>
      </c>
      <c r="C377" s="1" t="n">
        <v>46043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7107-2023</t>
        </is>
      </c>
      <c r="B378" s="1" t="n">
        <v>44970</v>
      </c>
      <c r="C378" s="1" t="n">
        <v>46043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63313-2025</t>
        </is>
      </c>
      <c r="B379" s="1" t="n">
        <v>46010</v>
      </c>
      <c r="C379" s="1" t="n">
        <v>46043</v>
      </c>
      <c r="D379" t="inlineStr">
        <is>
          <t>KALMAR LÄN</t>
        </is>
      </c>
      <c r="E379" t="inlineStr">
        <is>
          <t>KALMAR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63498-2025</t>
        </is>
      </c>
      <c r="B380" s="1" t="n">
        <v>46013</v>
      </c>
      <c r="C380" s="1" t="n">
        <v>46043</v>
      </c>
      <c r="D380" t="inlineStr">
        <is>
          <t>KALMAR LÄN</t>
        </is>
      </c>
      <c r="E380" t="inlineStr">
        <is>
          <t>KALMAR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9534-2022</t>
        </is>
      </c>
      <c r="B381" s="1" t="n">
        <v>44617</v>
      </c>
      <c r="C381" s="1" t="n">
        <v>46043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9535-2022</t>
        </is>
      </c>
      <c r="B382" s="1" t="n">
        <v>44617</v>
      </c>
      <c r="C382" s="1" t="n">
        <v>46043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29689-2025</t>
        </is>
      </c>
      <c r="B383" s="1" t="n">
        <v>45825.53065972222</v>
      </c>
      <c r="C383" s="1" t="n">
        <v>46043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48223-2023</t>
        </is>
      </c>
      <c r="B384" s="1" t="n">
        <v>45205.48995370371</v>
      </c>
      <c r="C384" s="1" t="n">
        <v>46043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57139-2023</t>
        </is>
      </c>
      <c r="B385" s="1" t="n">
        <v>45239</v>
      </c>
      <c r="C385" s="1" t="n">
        <v>46043</v>
      </c>
      <c r="D385" t="inlineStr">
        <is>
          <t>KALMAR LÄN</t>
        </is>
      </c>
      <c r="E385" t="inlineStr">
        <is>
          <t>KALMAR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56994-2025</t>
        </is>
      </c>
      <c r="B386" s="1" t="n">
        <v>45978.7303587963</v>
      </c>
      <c r="C386" s="1" t="n">
        <v>46043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11183-2022</t>
        </is>
      </c>
      <c r="B387" s="1" t="n">
        <v>44629</v>
      </c>
      <c r="C387" s="1" t="n">
        <v>46043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4379-2023</t>
        </is>
      </c>
      <c r="B388" s="1" t="n">
        <v>44955.57755787037</v>
      </c>
      <c r="C388" s="1" t="n">
        <v>46043</v>
      </c>
      <c r="D388" t="inlineStr">
        <is>
          <t>KALMAR LÄN</t>
        </is>
      </c>
      <c r="E388" t="inlineStr">
        <is>
          <t>KALMAR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2992-2022</t>
        </is>
      </c>
      <c r="B389" s="1" t="n">
        <v>44581.86262731482</v>
      </c>
      <c r="C389" s="1" t="n">
        <v>46043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22014-2023</t>
        </is>
      </c>
      <c r="B390" s="1" t="n">
        <v>45069</v>
      </c>
      <c r="C390" s="1" t="n">
        <v>46043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18875-2025</t>
        </is>
      </c>
      <c r="B391" s="1" t="n">
        <v>45764.43362268519</v>
      </c>
      <c r="C391" s="1" t="n">
        <v>46043</v>
      </c>
      <c r="D391" t="inlineStr">
        <is>
          <t>KALMAR LÄN</t>
        </is>
      </c>
      <c r="E391" t="inlineStr">
        <is>
          <t>KALMAR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42259-2023</t>
        </is>
      </c>
      <c r="B392" s="1" t="n">
        <v>45180.38313657408</v>
      </c>
      <c r="C392" s="1" t="n">
        <v>46043</v>
      </c>
      <c r="D392" t="inlineStr">
        <is>
          <t>KALMAR LÄN</t>
        </is>
      </c>
      <c r="E392" t="inlineStr">
        <is>
          <t>KALMAR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37300-2024</t>
        </is>
      </c>
      <c r="B393" s="1" t="n">
        <v>45540.46302083333</v>
      </c>
      <c r="C393" s="1" t="n">
        <v>46043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43217-2024</t>
        </is>
      </c>
      <c r="B394" s="1" t="n">
        <v>45567</v>
      </c>
      <c r="C394" s="1" t="n">
        <v>46043</v>
      </c>
      <c r="D394" t="inlineStr">
        <is>
          <t>KALMAR LÄN</t>
        </is>
      </c>
      <c r="E394" t="inlineStr">
        <is>
          <t>KALMAR</t>
        </is>
      </c>
      <c r="F394" t="inlineStr">
        <is>
          <t>Kyrkan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61925-2021</t>
        </is>
      </c>
      <c r="B395" s="1" t="n">
        <v>44502</v>
      </c>
      <c r="C395" s="1" t="n">
        <v>46043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524-2022</t>
        </is>
      </c>
      <c r="B396" s="1" t="n">
        <v>44566</v>
      </c>
      <c r="C396" s="1" t="n">
        <v>46043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32470-2025</t>
        </is>
      </c>
      <c r="B397" s="1" t="n">
        <v>45838.42543981481</v>
      </c>
      <c r="C397" s="1" t="n">
        <v>46043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54462-2023</t>
        </is>
      </c>
      <c r="B398" s="1" t="n">
        <v>45233.45891203704</v>
      </c>
      <c r="C398" s="1" t="n">
        <v>46043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32404-2025</t>
        </is>
      </c>
      <c r="B399" s="1" t="n">
        <v>45838.3153125</v>
      </c>
      <c r="C399" s="1" t="n">
        <v>46043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45755-2022</t>
        </is>
      </c>
      <c r="B400" s="1" t="n">
        <v>44846</v>
      </c>
      <c r="C400" s="1" t="n">
        <v>46043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16956-2025</t>
        </is>
      </c>
      <c r="B401" s="1" t="n">
        <v>45755.44684027778</v>
      </c>
      <c r="C401" s="1" t="n">
        <v>46043</v>
      </c>
      <c r="D401" t="inlineStr">
        <is>
          <t>KALMAR LÄN</t>
        </is>
      </c>
      <c r="E401" t="inlineStr">
        <is>
          <t>KALMAR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32402-2025</t>
        </is>
      </c>
      <c r="B402" s="1" t="n">
        <v>45838.30962962963</v>
      </c>
      <c r="C402" s="1" t="n">
        <v>46043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32401-2025</t>
        </is>
      </c>
      <c r="B403" s="1" t="n">
        <v>45838.30082175926</v>
      </c>
      <c r="C403" s="1" t="n">
        <v>46043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1987-2023</t>
        </is>
      </c>
      <c r="B404" s="1" t="n">
        <v>44939.49839120371</v>
      </c>
      <c r="C404" s="1" t="n">
        <v>46043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54551-2022</t>
        </is>
      </c>
      <c r="B405" s="1" t="n">
        <v>44882.86710648148</v>
      </c>
      <c r="C405" s="1" t="n">
        <v>46043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46043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61409-2024</t>
        </is>
      </c>
      <c r="B407" s="1" t="n">
        <v>45646</v>
      </c>
      <c r="C407" s="1" t="n">
        <v>46043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61401-2023</t>
        </is>
      </c>
      <c r="B408" s="1" t="n">
        <v>45264</v>
      </c>
      <c r="C408" s="1" t="n">
        <v>46043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HYPERLINK("https://klasma.github.io/Logging_0880/knärot/A 61401-2023 karta knärot.png", "A 61401-2023")</f>
        <v/>
      </c>
      <c r="V408">
        <f>HYPERLINK("https://klasma.github.io/Logging_0880/klagomål/A 61401-2023 FSC-klagomål.docx", "A 61401-2023")</f>
        <v/>
      </c>
      <c r="W408">
        <f>HYPERLINK("https://klasma.github.io/Logging_0880/klagomålsmail/A 61401-2023 FSC-klagomål mail.docx", "A 61401-2023")</f>
        <v/>
      </c>
      <c r="X408">
        <f>HYPERLINK("https://klasma.github.io/Logging_0880/tillsyn/A 61401-2023 tillsynsbegäran.docx", "A 61401-2023")</f>
        <v/>
      </c>
      <c r="Y408">
        <f>HYPERLINK("https://klasma.github.io/Logging_0880/tillsynsmail/A 61401-2023 tillsynsbegäran mail.docx", "A 61401-2023")</f>
        <v/>
      </c>
    </row>
    <row r="409" ht="15" customHeight="1">
      <c r="A409" t="inlineStr">
        <is>
          <t>A 57212-2022</t>
        </is>
      </c>
      <c r="B409" s="1" t="n">
        <v>44895.64876157408</v>
      </c>
      <c r="C409" s="1" t="n">
        <v>46043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26593-2023</t>
        </is>
      </c>
      <c r="B410" s="1" t="n">
        <v>45092.66958333334</v>
      </c>
      <c r="C410" s="1" t="n">
        <v>46043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33816-2025</t>
        </is>
      </c>
      <c r="B411" s="1" t="n">
        <v>45842.45819444444</v>
      </c>
      <c r="C411" s="1" t="n">
        <v>46043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60754-2022</t>
        </is>
      </c>
      <c r="B412" s="1" t="n">
        <v>44914.32637731481</v>
      </c>
      <c r="C412" s="1" t="n">
        <v>46043</v>
      </c>
      <c r="D412" t="inlineStr">
        <is>
          <t>KALMAR LÄN</t>
        </is>
      </c>
      <c r="E412" t="inlineStr">
        <is>
          <t>KALMAR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28299-2023</t>
        </is>
      </c>
      <c r="B413" s="1" t="n">
        <v>45099.64581018518</v>
      </c>
      <c r="C413" s="1" t="n">
        <v>46043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33780-2025</t>
        </is>
      </c>
      <c r="B414" s="1" t="n">
        <v>45842</v>
      </c>
      <c r="C414" s="1" t="n">
        <v>46043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33781-2025</t>
        </is>
      </c>
      <c r="B415" s="1" t="n">
        <v>45842</v>
      </c>
      <c r="C415" s="1" t="n">
        <v>46043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7675-2025</t>
        </is>
      </c>
      <c r="B416" s="1" t="n">
        <v>45706.35223379629</v>
      </c>
      <c r="C416" s="1" t="n">
        <v>46043</v>
      </c>
      <c r="D416" t="inlineStr">
        <is>
          <t>KALMAR LÄN</t>
        </is>
      </c>
      <c r="E416" t="inlineStr">
        <is>
          <t>KALMAR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28974-2023</t>
        </is>
      </c>
      <c r="B417" s="1" t="n">
        <v>45104.61077546296</v>
      </c>
      <c r="C417" s="1" t="n">
        <v>46043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28978-2023</t>
        </is>
      </c>
      <c r="B418" s="1" t="n">
        <v>45104.61489583334</v>
      </c>
      <c r="C418" s="1" t="n">
        <v>46043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28985-2023</t>
        </is>
      </c>
      <c r="B419" s="1" t="n">
        <v>45104</v>
      </c>
      <c r="C419" s="1" t="n">
        <v>46043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62456-2022</t>
        </is>
      </c>
      <c r="B420" s="1" t="n">
        <v>44924</v>
      </c>
      <c r="C420" s="1" t="n">
        <v>46043</v>
      </c>
      <c r="D420" t="inlineStr">
        <is>
          <t>KALMAR LÄN</t>
        </is>
      </c>
      <c r="E420" t="inlineStr">
        <is>
          <t>KALMAR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31806-2023</t>
        </is>
      </c>
      <c r="B421" s="1" t="n">
        <v>45118</v>
      </c>
      <c r="C421" s="1" t="n">
        <v>46043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34858-2025</t>
        </is>
      </c>
      <c r="B422" s="1" t="n">
        <v>45849.43452546297</v>
      </c>
      <c r="C422" s="1" t="n">
        <v>46043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25214-2023</t>
        </is>
      </c>
      <c r="B423" s="1" t="n">
        <v>45086</v>
      </c>
      <c r="C423" s="1" t="n">
        <v>46043</v>
      </c>
      <c r="D423" t="inlineStr">
        <is>
          <t>KALMAR LÄN</t>
        </is>
      </c>
      <c r="E423" t="inlineStr">
        <is>
          <t>KALMAR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47387-2023</t>
        </is>
      </c>
      <c r="B424" s="1" t="n">
        <v>45202</v>
      </c>
      <c r="C424" s="1" t="n">
        <v>46043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35532-2025</t>
        </is>
      </c>
      <c r="B425" s="1" t="n">
        <v>45856.43569444444</v>
      </c>
      <c r="C425" s="1" t="n">
        <v>46043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9055-2023</t>
        </is>
      </c>
      <c r="B426" s="1" t="n">
        <v>44979</v>
      </c>
      <c r="C426" s="1" t="n">
        <v>46043</v>
      </c>
      <c r="D426" t="inlineStr">
        <is>
          <t>KALMAR LÄN</t>
        </is>
      </c>
      <c r="E426" t="inlineStr">
        <is>
          <t>KALMAR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13415-2024</t>
        </is>
      </c>
      <c r="B427" s="1" t="n">
        <v>45387.46362268519</v>
      </c>
      <c r="C427" s="1" t="n">
        <v>46043</v>
      </c>
      <c r="D427" t="inlineStr">
        <is>
          <t>KALMAR LÄN</t>
        </is>
      </c>
      <c r="E427" t="inlineStr">
        <is>
          <t>KALMAR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13419-2024</t>
        </is>
      </c>
      <c r="B428" s="1" t="n">
        <v>45387.46494212963</v>
      </c>
      <c r="C428" s="1" t="n">
        <v>46043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28292-2023</t>
        </is>
      </c>
      <c r="B429" s="1" t="n">
        <v>45099.63752314815</v>
      </c>
      <c r="C429" s="1" t="n">
        <v>46043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56010-2021</t>
        </is>
      </c>
      <c r="B430" s="1" t="n">
        <v>44477.44094907407</v>
      </c>
      <c r="C430" s="1" t="n">
        <v>46043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35799-2025</t>
        </is>
      </c>
      <c r="B431" s="1" t="n">
        <v>45861.37252314815</v>
      </c>
      <c r="C431" s="1" t="n">
        <v>46043</v>
      </c>
      <c r="D431" t="inlineStr">
        <is>
          <t>KALMAR LÄN</t>
        </is>
      </c>
      <c r="E431" t="inlineStr">
        <is>
          <t>KALMAR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30860-2025</t>
        </is>
      </c>
      <c r="B432" s="1" t="n">
        <v>45831.97577546296</v>
      </c>
      <c r="C432" s="1" t="n">
        <v>46043</v>
      </c>
      <c r="D432" t="inlineStr">
        <is>
          <t>KALMAR LÄN</t>
        </is>
      </c>
      <c r="E432" t="inlineStr">
        <is>
          <t>KALMAR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36144-2025</t>
        </is>
      </c>
      <c r="B433" s="1" t="n">
        <v>45866.74208333333</v>
      </c>
      <c r="C433" s="1" t="n">
        <v>46043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35966-2025</t>
        </is>
      </c>
      <c r="B434" s="1" t="n">
        <v>45863.39814814815</v>
      </c>
      <c r="C434" s="1" t="n">
        <v>46043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21278-2025</t>
        </is>
      </c>
      <c r="B435" s="1" t="n">
        <v>45779.64450231481</v>
      </c>
      <c r="C435" s="1" t="n">
        <v>46043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19042-2025</t>
        </is>
      </c>
      <c r="B436" s="1" t="n">
        <v>45764</v>
      </c>
      <c r="C436" s="1" t="n">
        <v>46043</v>
      </c>
      <c r="D436" t="inlineStr">
        <is>
          <t>KALMAR LÄN</t>
        </is>
      </c>
      <c r="E436" t="inlineStr">
        <is>
          <t>KALMAR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72194-2021</t>
        </is>
      </c>
      <c r="B437" s="1" t="n">
        <v>44544.66945601852</v>
      </c>
      <c r="C437" s="1" t="n">
        <v>46043</v>
      </c>
      <c r="D437" t="inlineStr">
        <is>
          <t>KALMAR LÄN</t>
        </is>
      </c>
      <c r="E437" t="inlineStr">
        <is>
          <t>KALMAR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37973-2024</t>
        </is>
      </c>
      <c r="B438" s="1" t="n">
        <v>45544.57149305556</v>
      </c>
      <c r="C438" s="1" t="n">
        <v>46043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36883-2025</t>
        </is>
      </c>
      <c r="B439" s="1" t="n">
        <v>45874.43913194445</v>
      </c>
      <c r="C439" s="1" t="n">
        <v>46043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28932-2023</t>
        </is>
      </c>
      <c r="B440" s="1" t="n">
        <v>45104</v>
      </c>
      <c r="C440" s="1" t="n">
        <v>46043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10930-2023</t>
        </is>
      </c>
      <c r="B441" s="1" t="n">
        <v>44991.5237037037</v>
      </c>
      <c r="C441" s="1" t="n">
        <v>46043</v>
      </c>
      <c r="D441" t="inlineStr">
        <is>
          <t>KALMAR LÄN</t>
        </is>
      </c>
      <c r="E441" t="inlineStr">
        <is>
          <t>KALMAR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36937-2025</t>
        </is>
      </c>
      <c r="B442" s="1" t="n">
        <v>45874.58261574074</v>
      </c>
      <c r="C442" s="1" t="n">
        <v>46043</v>
      </c>
      <c r="D442" t="inlineStr">
        <is>
          <t>KALMAR LÄN</t>
        </is>
      </c>
      <c r="E442" t="inlineStr">
        <is>
          <t>KALMAR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60638-2023</t>
        </is>
      </c>
      <c r="B443" s="1" t="n">
        <v>45260</v>
      </c>
      <c r="C443" s="1" t="n">
        <v>46043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8845-2025</t>
        </is>
      </c>
      <c r="B444" s="1" t="n">
        <v>45713.33792824074</v>
      </c>
      <c r="C444" s="1" t="n">
        <v>46043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14526-2025</t>
        </is>
      </c>
      <c r="B445" s="1" t="n">
        <v>45741.64989583333</v>
      </c>
      <c r="C445" s="1" t="n">
        <v>46043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23486-2023</t>
        </is>
      </c>
      <c r="B446" s="1" t="n">
        <v>45076</v>
      </c>
      <c r="C446" s="1" t="n">
        <v>46043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15179-2024</t>
        </is>
      </c>
      <c r="B447" s="1" t="n">
        <v>45400.36533564814</v>
      </c>
      <c r="C447" s="1" t="n">
        <v>46043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30140-2023</t>
        </is>
      </c>
      <c r="B448" s="1" t="n">
        <v>45110.53196759259</v>
      </c>
      <c r="C448" s="1" t="n">
        <v>46043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20234-2025</t>
        </is>
      </c>
      <c r="B449" s="1" t="n">
        <v>45772</v>
      </c>
      <c r="C449" s="1" t="n">
        <v>46043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5949-2024</t>
        </is>
      </c>
      <c r="B450" s="1" t="n">
        <v>45335</v>
      </c>
      <c r="C450" s="1" t="n">
        <v>46043</v>
      </c>
      <c r="D450" t="inlineStr">
        <is>
          <t>KALMAR LÄN</t>
        </is>
      </c>
      <c r="E450" t="inlineStr">
        <is>
          <t>KALMAR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71843-2021</t>
        </is>
      </c>
      <c r="B451" s="1" t="n">
        <v>44543.6294212963</v>
      </c>
      <c r="C451" s="1" t="n">
        <v>46043</v>
      </c>
      <c r="D451" t="inlineStr">
        <is>
          <t>KALMAR LÄN</t>
        </is>
      </c>
      <c r="E451" t="inlineStr">
        <is>
          <t>KALMAR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54748-2024</t>
        </is>
      </c>
      <c r="B452" s="1" t="n">
        <v>45618.44939814815</v>
      </c>
      <c r="C452" s="1" t="n">
        <v>46043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41068-2023</t>
        </is>
      </c>
      <c r="B453" s="1" t="n">
        <v>45173</v>
      </c>
      <c r="C453" s="1" t="n">
        <v>46043</v>
      </c>
      <c r="D453" t="inlineStr">
        <is>
          <t>KALMAR LÄN</t>
        </is>
      </c>
      <c r="E453" t="inlineStr">
        <is>
          <t>KALMAR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22055-2025</t>
        </is>
      </c>
      <c r="B454" s="1" t="n">
        <v>45785.36744212963</v>
      </c>
      <c r="C454" s="1" t="n">
        <v>46043</v>
      </c>
      <c r="D454" t="inlineStr">
        <is>
          <t>KALMAR LÄN</t>
        </is>
      </c>
      <c r="E454" t="inlineStr">
        <is>
          <t>KALMAR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8120-2025</t>
        </is>
      </c>
      <c r="B455" s="1" t="n">
        <v>45707.76028935185</v>
      </c>
      <c r="C455" s="1" t="n">
        <v>46043</v>
      </c>
      <c r="D455" t="inlineStr">
        <is>
          <t>KALMAR LÄN</t>
        </is>
      </c>
      <c r="E455" t="inlineStr">
        <is>
          <t>KALMAR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8122-2025</t>
        </is>
      </c>
      <c r="B456" s="1" t="n">
        <v>45707.76736111111</v>
      </c>
      <c r="C456" s="1" t="n">
        <v>46043</v>
      </c>
      <c r="D456" t="inlineStr">
        <is>
          <t>KALMAR LÄN</t>
        </is>
      </c>
      <c r="E456" t="inlineStr">
        <is>
          <t>KALMAR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38345-2025</t>
        </is>
      </c>
      <c r="B457" s="1" t="n">
        <v>45883.50762731482</v>
      </c>
      <c r="C457" s="1" t="n">
        <v>46043</v>
      </c>
      <c r="D457" t="inlineStr">
        <is>
          <t>KALMAR LÄN</t>
        </is>
      </c>
      <c r="E457" t="inlineStr">
        <is>
          <t>KALMAR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36126-2024</t>
        </is>
      </c>
      <c r="B458" s="1" t="n">
        <v>45534.33277777778</v>
      </c>
      <c r="C458" s="1" t="n">
        <v>46043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19977-2025</t>
        </is>
      </c>
      <c r="B459" s="1" t="n">
        <v>45771</v>
      </c>
      <c r="C459" s="1" t="n">
        <v>46043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19992-2025</t>
        </is>
      </c>
      <c r="B460" s="1" t="n">
        <v>45771</v>
      </c>
      <c r="C460" s="1" t="n">
        <v>46043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4769-2025</t>
        </is>
      </c>
      <c r="B461" s="1" t="n">
        <v>45688.49143518518</v>
      </c>
      <c r="C461" s="1" t="n">
        <v>46043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68423-2021</t>
        </is>
      </c>
      <c r="B462" s="1" t="n">
        <v>44529</v>
      </c>
      <c r="C462" s="1" t="n">
        <v>46043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37312-2024</t>
        </is>
      </c>
      <c r="B463" s="1" t="n">
        <v>45540.47875</v>
      </c>
      <c r="C463" s="1" t="n">
        <v>46043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10032-2025</t>
        </is>
      </c>
      <c r="B464" s="1" t="n">
        <v>45719.49442129629</v>
      </c>
      <c r="C464" s="1" t="n">
        <v>46043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10033-2025</t>
        </is>
      </c>
      <c r="B465" s="1" t="n">
        <v>45719.49711805556</v>
      </c>
      <c r="C465" s="1" t="n">
        <v>46043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39453-2022</t>
        </is>
      </c>
      <c r="B466" s="1" t="n">
        <v>44818.36990740741</v>
      </c>
      <c r="C466" s="1" t="n">
        <v>46043</v>
      </c>
      <c r="D466" t="inlineStr">
        <is>
          <t>KALMAR LÄN</t>
        </is>
      </c>
      <c r="E466" t="inlineStr">
        <is>
          <t>KALMAR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45896-2023</t>
        </is>
      </c>
      <c r="B467" s="1" t="n">
        <v>45195</v>
      </c>
      <c r="C467" s="1" t="n">
        <v>46043</v>
      </c>
      <c r="D467" t="inlineStr">
        <is>
          <t>KALMAR LÄN</t>
        </is>
      </c>
      <c r="E467" t="inlineStr">
        <is>
          <t>KALMAR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31371-2023</t>
        </is>
      </c>
      <c r="B468" s="1" t="n">
        <v>45114</v>
      </c>
      <c r="C468" s="1" t="n">
        <v>46043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48242-2023</t>
        </is>
      </c>
      <c r="B469" s="1" t="n">
        <v>45205.50341435185</v>
      </c>
      <c r="C469" s="1" t="n">
        <v>46043</v>
      </c>
      <c r="D469" t="inlineStr">
        <is>
          <t>KALMAR LÄN</t>
        </is>
      </c>
      <c r="E469" t="inlineStr">
        <is>
          <t>KALMAR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10043-2025</t>
        </is>
      </c>
      <c r="B470" s="1" t="n">
        <v>45719.50435185185</v>
      </c>
      <c r="C470" s="1" t="n">
        <v>46043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35515-2024</t>
        </is>
      </c>
      <c r="B471" s="1" t="n">
        <v>45531.56496527778</v>
      </c>
      <c r="C471" s="1" t="n">
        <v>46043</v>
      </c>
      <c r="D471" t="inlineStr">
        <is>
          <t>KALMAR LÄN</t>
        </is>
      </c>
      <c r="E471" t="inlineStr">
        <is>
          <t>KALMAR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25699-2023</t>
        </is>
      </c>
      <c r="B472" s="1" t="n">
        <v>45090</v>
      </c>
      <c r="C472" s="1" t="n">
        <v>46043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25700-2023</t>
        </is>
      </c>
      <c r="B473" s="1" t="n">
        <v>45090</v>
      </c>
      <c r="C473" s="1" t="n">
        <v>46043</v>
      </c>
      <c r="D473" t="inlineStr">
        <is>
          <t>KALMAR LÄN</t>
        </is>
      </c>
      <c r="E473" t="inlineStr">
        <is>
          <t>KALMAR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54747-2024</t>
        </is>
      </c>
      <c r="B474" s="1" t="n">
        <v>45618.44755787037</v>
      </c>
      <c r="C474" s="1" t="n">
        <v>46043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44547-2023</t>
        </is>
      </c>
      <c r="B475" s="1" t="n">
        <v>45189</v>
      </c>
      <c r="C475" s="1" t="n">
        <v>46043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13416-2022</t>
        </is>
      </c>
      <c r="B476" s="1" t="n">
        <v>44645.55082175926</v>
      </c>
      <c r="C476" s="1" t="n">
        <v>46043</v>
      </c>
      <c r="D476" t="inlineStr">
        <is>
          <t>KALMAR LÄN</t>
        </is>
      </c>
      <c r="E476" t="inlineStr">
        <is>
          <t>KALMAR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42452-2023</t>
        </is>
      </c>
      <c r="B477" s="1" t="n">
        <v>45180.66054398148</v>
      </c>
      <c r="C477" s="1" t="n">
        <v>46043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4448-2024</t>
        </is>
      </c>
      <c r="B478" s="1" t="n">
        <v>45327.50098379629</v>
      </c>
      <c r="C478" s="1" t="n">
        <v>46043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7324-2024</t>
        </is>
      </c>
      <c r="B479" s="1" t="n">
        <v>45345.38601851852</v>
      </c>
      <c r="C479" s="1" t="n">
        <v>46043</v>
      </c>
      <c r="D479" t="inlineStr">
        <is>
          <t>KALMAR LÄN</t>
        </is>
      </c>
      <c r="E479" t="inlineStr">
        <is>
          <t>KALMAR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16149-2023</t>
        </is>
      </c>
      <c r="B480" s="1" t="n">
        <v>45027</v>
      </c>
      <c r="C480" s="1" t="n">
        <v>46043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39843-2022</t>
        </is>
      </c>
      <c r="B481" s="1" t="n">
        <v>44819</v>
      </c>
      <c r="C481" s="1" t="n">
        <v>46043</v>
      </c>
      <c r="D481" t="inlineStr">
        <is>
          <t>KALMAR LÄN</t>
        </is>
      </c>
      <c r="E481" t="inlineStr">
        <is>
          <t>KALMAR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22303-2023</t>
        </is>
      </c>
      <c r="B482" s="1" t="n">
        <v>45070</v>
      </c>
      <c r="C482" s="1" t="n">
        <v>46043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43038-2023</t>
        </is>
      </c>
      <c r="B483" s="1" t="n">
        <v>45182.6869212963</v>
      </c>
      <c r="C483" s="1" t="n">
        <v>46043</v>
      </c>
      <c r="D483" t="inlineStr">
        <is>
          <t>KALMAR LÄN</t>
        </is>
      </c>
      <c r="E483" t="inlineStr">
        <is>
          <t>KALMAR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14726-2022</t>
        </is>
      </c>
      <c r="B484" s="1" t="n">
        <v>44656.3625925926</v>
      </c>
      <c r="C484" s="1" t="n">
        <v>46043</v>
      </c>
      <c r="D484" t="inlineStr">
        <is>
          <t>KALMAR LÄN</t>
        </is>
      </c>
      <c r="E484" t="inlineStr">
        <is>
          <t>KALMAR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15658-2024</t>
        </is>
      </c>
      <c r="B485" s="1" t="n">
        <v>45402</v>
      </c>
      <c r="C485" s="1" t="n">
        <v>46043</v>
      </c>
      <c r="D485" t="inlineStr">
        <is>
          <t>KALMAR LÄN</t>
        </is>
      </c>
      <c r="E485" t="inlineStr">
        <is>
          <t>KALMAR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16119-2024</t>
        </is>
      </c>
      <c r="B486" s="1" t="n">
        <v>45406</v>
      </c>
      <c r="C486" s="1" t="n">
        <v>46043</v>
      </c>
      <c r="D486" t="inlineStr">
        <is>
          <t>KALMAR LÄN</t>
        </is>
      </c>
      <c r="E486" t="inlineStr">
        <is>
          <t>KALMAR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42953-2023</t>
        </is>
      </c>
      <c r="B487" s="1" t="n">
        <v>45182</v>
      </c>
      <c r="C487" s="1" t="n">
        <v>46043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54447-2024</t>
        </is>
      </c>
      <c r="B488" s="1" t="n">
        <v>45617.52459490741</v>
      </c>
      <c r="C488" s="1" t="n">
        <v>46043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9869-2024</t>
        </is>
      </c>
      <c r="B489" s="1" t="n">
        <v>45363.43923611111</v>
      </c>
      <c r="C489" s="1" t="n">
        <v>46043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57417-2024</t>
        </is>
      </c>
      <c r="B490" s="1" t="n">
        <v>45629.79351851852</v>
      </c>
      <c r="C490" s="1" t="n">
        <v>46043</v>
      </c>
      <c r="D490" t="inlineStr">
        <is>
          <t>KALMAR LÄN</t>
        </is>
      </c>
      <c r="E490" t="inlineStr">
        <is>
          <t>KALMAR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17540-2022</t>
        </is>
      </c>
      <c r="B491" s="1" t="n">
        <v>44679.61922453704</v>
      </c>
      <c r="C491" s="1" t="n">
        <v>46043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36016-2023</t>
        </is>
      </c>
      <c r="B492" s="1" t="n">
        <v>45149.36645833333</v>
      </c>
      <c r="C492" s="1" t="n">
        <v>46043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36018-2023</t>
        </is>
      </c>
      <c r="B493" s="1" t="n">
        <v>45149.36741898148</v>
      </c>
      <c r="C493" s="1" t="n">
        <v>46043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7345-2025</t>
        </is>
      </c>
      <c r="B494" s="1" t="n">
        <v>45703.68050925926</v>
      </c>
      <c r="C494" s="1" t="n">
        <v>46043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32955-2023</t>
        </is>
      </c>
      <c r="B495" s="1" t="n">
        <v>45125.51887731482</v>
      </c>
      <c r="C495" s="1" t="n">
        <v>46043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45154.50664351852</v>
      </c>
      <c r="C496" s="1" t="n">
        <v>46043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44765-2024</t>
        </is>
      </c>
      <c r="B497" s="1" t="n">
        <v>45574.62284722222</v>
      </c>
      <c r="C497" s="1" t="n">
        <v>46043</v>
      </c>
      <c r="D497" t="inlineStr">
        <is>
          <t>KALMAR LÄN</t>
        </is>
      </c>
      <c r="E497" t="inlineStr">
        <is>
          <t>KALMAR</t>
        </is>
      </c>
      <c r="F497" t="inlineStr">
        <is>
          <t>Kommuner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54450-2023</t>
        </is>
      </c>
      <c r="B498" s="1" t="n">
        <v>45233.44423611111</v>
      </c>
      <c r="C498" s="1" t="n">
        <v>46043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54468-2023</t>
        </is>
      </c>
      <c r="B499" s="1" t="n">
        <v>45233.461875</v>
      </c>
      <c r="C499" s="1" t="n">
        <v>46043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46778-2023</t>
        </is>
      </c>
      <c r="B500" s="1" t="n">
        <v>45198</v>
      </c>
      <c r="C500" s="1" t="n">
        <v>46043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44549-2023</t>
        </is>
      </c>
      <c r="B501" s="1" t="n">
        <v>45189</v>
      </c>
      <c r="C501" s="1" t="n">
        <v>46043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4241-2025</t>
        </is>
      </c>
      <c r="B502" s="1" t="n">
        <v>45685</v>
      </c>
      <c r="C502" s="1" t="n">
        <v>46043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40180-2023</t>
        </is>
      </c>
      <c r="B503" s="1" t="n">
        <v>45169.40732638889</v>
      </c>
      <c r="C503" s="1" t="n">
        <v>46043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49324-2022</t>
        </is>
      </c>
      <c r="B504" s="1" t="n">
        <v>44861</v>
      </c>
      <c r="C504" s="1" t="n">
        <v>46043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32190-2023</t>
        </is>
      </c>
      <c r="B505" s="1" t="n">
        <v>45119</v>
      </c>
      <c r="C505" s="1" t="n">
        <v>46043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36560-2023</t>
        </is>
      </c>
      <c r="B506" s="1" t="n">
        <v>45153.41537037037</v>
      </c>
      <c r="C506" s="1" t="n">
        <v>46043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54480-2023</t>
        </is>
      </c>
      <c r="B507" s="1" t="n">
        <v>45233.47571759259</v>
      </c>
      <c r="C507" s="1" t="n">
        <v>46043</v>
      </c>
      <c r="D507" t="inlineStr">
        <is>
          <t>KALMAR LÄN</t>
        </is>
      </c>
      <c r="E507" t="inlineStr">
        <is>
          <t>KALMAR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2733-2024</t>
        </is>
      </c>
      <c r="B508" s="1" t="n">
        <v>45314</v>
      </c>
      <c r="C508" s="1" t="n">
        <v>46043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41071-2023</t>
        </is>
      </c>
      <c r="B509" s="1" t="n">
        <v>45173.64986111111</v>
      </c>
      <c r="C509" s="1" t="n">
        <v>46043</v>
      </c>
      <c r="D509" t="inlineStr">
        <is>
          <t>KALMAR LÄN</t>
        </is>
      </c>
      <c r="E509" t="inlineStr">
        <is>
          <t>KALMAR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41080-2023</t>
        </is>
      </c>
      <c r="B510" s="1" t="n">
        <v>45173.65681712963</v>
      </c>
      <c r="C510" s="1" t="n">
        <v>46043</v>
      </c>
      <c r="D510" t="inlineStr">
        <is>
          <t>KALMAR LÄN</t>
        </is>
      </c>
      <c r="E510" t="inlineStr">
        <is>
          <t>KALMAR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24643-2024</t>
        </is>
      </c>
      <c r="B511" s="1" t="n">
        <v>45460.55929398148</v>
      </c>
      <c r="C511" s="1" t="n">
        <v>46043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57617-2023</t>
        </is>
      </c>
      <c r="B512" s="1" t="n">
        <v>45246</v>
      </c>
      <c r="C512" s="1" t="n">
        <v>46043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55993-2024</t>
        </is>
      </c>
      <c r="B513" s="1" t="n">
        <v>45623.69091435185</v>
      </c>
      <c r="C513" s="1" t="n">
        <v>46043</v>
      </c>
      <c r="D513" t="inlineStr">
        <is>
          <t>KALMAR LÄN</t>
        </is>
      </c>
      <c r="E513" t="inlineStr">
        <is>
          <t>KALMAR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32500-2022</t>
        </is>
      </c>
      <c r="B514" s="1" t="n">
        <v>44782.66065972222</v>
      </c>
      <c r="C514" s="1" t="n">
        <v>46043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58971-2023</t>
        </is>
      </c>
      <c r="B515" s="1" t="n">
        <v>45252.61453703704</v>
      </c>
      <c r="C515" s="1" t="n">
        <v>46043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40583-2023</t>
        </is>
      </c>
      <c r="B516" s="1" t="n">
        <v>45170</v>
      </c>
      <c r="C516" s="1" t="n">
        <v>46043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7750-2023</t>
        </is>
      </c>
      <c r="B517" s="1" t="n">
        <v>44973.36293981481</v>
      </c>
      <c r="C517" s="1" t="n">
        <v>46043</v>
      </c>
      <c r="D517" t="inlineStr">
        <is>
          <t>KALMAR LÄN</t>
        </is>
      </c>
      <c r="E517" t="inlineStr">
        <is>
          <t>KALMAR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19799-2025</t>
        </is>
      </c>
      <c r="B518" s="1" t="n">
        <v>45771.4483912037</v>
      </c>
      <c r="C518" s="1" t="n">
        <v>46043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8700-2024</t>
        </is>
      </c>
      <c r="B519" s="1" t="n">
        <v>45356.37644675926</v>
      </c>
      <c r="C519" s="1" t="n">
        <v>46043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46239-2022</t>
        </is>
      </c>
      <c r="B520" s="1" t="n">
        <v>44847.61641203704</v>
      </c>
      <c r="C520" s="1" t="n">
        <v>46043</v>
      </c>
      <c r="D520" t="inlineStr">
        <is>
          <t>KALMAR LÄN</t>
        </is>
      </c>
      <c r="E520" t="inlineStr">
        <is>
          <t>KALMAR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23664-2024</t>
        </is>
      </c>
      <c r="B521" s="1" t="n">
        <v>45454.57378472222</v>
      </c>
      <c r="C521" s="1" t="n">
        <v>46043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18804-2022</t>
        </is>
      </c>
      <c r="B522" s="1" t="n">
        <v>44690.35951388889</v>
      </c>
      <c r="C522" s="1" t="n">
        <v>46043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7812-2024</t>
        </is>
      </c>
      <c r="B523" s="1" t="n">
        <v>45349.67702546297</v>
      </c>
      <c r="C523" s="1" t="n">
        <v>46043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49757-2023</t>
        </is>
      </c>
      <c r="B524" s="1" t="n">
        <v>45212</v>
      </c>
      <c r="C524" s="1" t="n">
        <v>46043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13734-2023</t>
        </is>
      </c>
      <c r="B525" s="1" t="n">
        <v>45007.36232638889</v>
      </c>
      <c r="C525" s="1" t="n">
        <v>46043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13735-2023</t>
        </is>
      </c>
      <c r="B526" s="1" t="n">
        <v>45007.36420138889</v>
      </c>
      <c r="C526" s="1" t="n">
        <v>46043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62025-2023</t>
        </is>
      </c>
      <c r="B527" s="1" t="n">
        <v>45266.65703703704</v>
      </c>
      <c r="C527" s="1" t="n">
        <v>46043</v>
      </c>
      <c r="D527" t="inlineStr">
        <is>
          <t>KALMAR LÄN</t>
        </is>
      </c>
      <c r="E527" t="inlineStr">
        <is>
          <t>KALMAR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46043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27451-2021</t>
        </is>
      </c>
      <c r="B529" s="1" t="n">
        <v>44351</v>
      </c>
      <c r="C529" s="1" t="n">
        <v>46043</v>
      </c>
      <c r="D529" t="inlineStr">
        <is>
          <t>KALMAR LÄN</t>
        </is>
      </c>
      <c r="E529" t="inlineStr">
        <is>
          <t>KALMAR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1853-2024</t>
        </is>
      </c>
      <c r="B530" s="1" t="n">
        <v>45307.70986111111</v>
      </c>
      <c r="C530" s="1" t="n">
        <v>46043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5930-2023</t>
        </is>
      </c>
      <c r="B531" s="1" t="n">
        <v>44963</v>
      </c>
      <c r="C531" s="1" t="n">
        <v>46043</v>
      </c>
      <c r="D531" t="inlineStr">
        <is>
          <t>KALMAR LÄN</t>
        </is>
      </c>
      <c r="E531" t="inlineStr">
        <is>
          <t>KALMAR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5941-2023</t>
        </is>
      </c>
      <c r="B532" s="1" t="n">
        <v>44963.84150462963</v>
      </c>
      <c r="C532" s="1" t="n">
        <v>46043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26984-2023</t>
        </is>
      </c>
      <c r="B533" s="1" t="n">
        <v>45093</v>
      </c>
      <c r="C533" s="1" t="n">
        <v>46043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53389-2023</t>
        </is>
      </c>
      <c r="B534" s="1" t="n">
        <v>45229.71185185185</v>
      </c>
      <c r="C534" s="1" t="n">
        <v>46043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49878-2022</t>
        </is>
      </c>
      <c r="B535" s="1" t="n">
        <v>44864</v>
      </c>
      <c r="C535" s="1" t="n">
        <v>46043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1903-2024</t>
        </is>
      </c>
      <c r="B536" s="1" t="n">
        <v>45308.36451388889</v>
      </c>
      <c r="C536" s="1" t="n">
        <v>46043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49415-2024</t>
        </is>
      </c>
      <c r="B537" s="1" t="n">
        <v>45595.70145833334</v>
      </c>
      <c r="C537" s="1" t="n">
        <v>46043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15246-2022</t>
        </is>
      </c>
      <c r="B538" s="1" t="n">
        <v>44658.9643287037</v>
      </c>
      <c r="C538" s="1" t="n">
        <v>46043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14650-2021</t>
        </is>
      </c>
      <c r="B539" s="1" t="n">
        <v>44280.38127314814</v>
      </c>
      <c r="C539" s="1" t="n">
        <v>46043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48337-2022</t>
        </is>
      </c>
      <c r="B540" s="1" t="n">
        <v>44858</v>
      </c>
      <c r="C540" s="1" t="n">
        <v>46043</v>
      </c>
      <c r="D540" t="inlineStr">
        <is>
          <t>KALMAR LÄN</t>
        </is>
      </c>
      <c r="E540" t="inlineStr">
        <is>
          <t>KALMAR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6012-2024</t>
        </is>
      </c>
      <c r="B541" s="1" t="n">
        <v>45336</v>
      </c>
      <c r="C541" s="1" t="n">
        <v>46043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34228-2024</t>
        </is>
      </c>
      <c r="B542" s="1" t="n">
        <v>45524.55950231481</v>
      </c>
      <c r="C542" s="1" t="n">
        <v>46043</v>
      </c>
      <c r="D542" t="inlineStr">
        <is>
          <t>KALMAR LÄN</t>
        </is>
      </c>
      <c r="E542" t="inlineStr">
        <is>
          <t>KALMAR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22131-2022</t>
        </is>
      </c>
      <c r="B543" s="1" t="n">
        <v>44712.36024305555</v>
      </c>
      <c r="C543" s="1" t="n">
        <v>46043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36260-2022</t>
        </is>
      </c>
      <c r="B544" s="1" t="n">
        <v>44803.59166666667</v>
      </c>
      <c r="C544" s="1" t="n">
        <v>46043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8735-2023</t>
        </is>
      </c>
      <c r="B545" s="1" t="n">
        <v>44978.45912037037</v>
      </c>
      <c r="C545" s="1" t="n">
        <v>46043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1940-2023</t>
        </is>
      </c>
      <c r="B546" s="1" t="n">
        <v>44939</v>
      </c>
      <c r="C546" s="1" t="n">
        <v>46043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60871-2021</t>
        </is>
      </c>
      <c r="B547" s="1" t="n">
        <v>44497</v>
      </c>
      <c r="C547" s="1" t="n">
        <v>46043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64994-2023</t>
        </is>
      </c>
      <c r="B548" s="1" t="n">
        <v>45286.66233796296</v>
      </c>
      <c r="C548" s="1" t="n">
        <v>46043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51962-2024</t>
        </is>
      </c>
      <c r="B549" s="1" t="n">
        <v>45607</v>
      </c>
      <c r="C549" s="1" t="n">
        <v>46043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23231-2023</t>
        </is>
      </c>
      <c r="B550" s="1" t="n">
        <v>45075</v>
      </c>
      <c r="C550" s="1" t="n">
        <v>46043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6431-2024</t>
        </is>
      </c>
      <c r="B551" s="1" t="n">
        <v>45338.63932870371</v>
      </c>
      <c r="C551" s="1" t="n">
        <v>46043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47989-2022</t>
        </is>
      </c>
      <c r="B552" s="1" t="n">
        <v>44855.62880787037</v>
      </c>
      <c r="C552" s="1" t="n">
        <v>46043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26078-2023</t>
        </is>
      </c>
      <c r="B553" s="1" t="n">
        <v>45091</v>
      </c>
      <c r="C553" s="1" t="n">
        <v>46043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58800-2023</t>
        </is>
      </c>
      <c r="B554" s="1" t="n">
        <v>45252</v>
      </c>
      <c r="C554" s="1" t="n">
        <v>46043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26903-2024</t>
        </is>
      </c>
      <c r="B555" s="1" t="n">
        <v>45470.70572916666</v>
      </c>
      <c r="C555" s="1" t="n">
        <v>46043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17085-2023</t>
        </is>
      </c>
      <c r="B556" s="1" t="n">
        <v>45034.50958333333</v>
      </c>
      <c r="C556" s="1" t="n">
        <v>46043</v>
      </c>
      <c r="D556" t="inlineStr">
        <is>
          <t>KALMAR LÄN</t>
        </is>
      </c>
      <c r="E556" t="inlineStr">
        <is>
          <t>KALMAR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750-2023</t>
        </is>
      </c>
      <c r="B557" s="1" t="n">
        <v>44931.35797453704</v>
      </c>
      <c r="C557" s="1" t="n">
        <v>46043</v>
      </c>
      <c r="D557" t="inlineStr">
        <is>
          <t>KALMAR LÄN</t>
        </is>
      </c>
      <c r="E557" t="inlineStr">
        <is>
          <t>KALMAR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57138-2022</t>
        </is>
      </c>
      <c r="B558" s="1" t="n">
        <v>44895</v>
      </c>
      <c r="C558" s="1" t="n">
        <v>46043</v>
      </c>
      <c r="D558" t="inlineStr">
        <is>
          <t>KALMAR LÄN</t>
        </is>
      </c>
      <c r="E558" t="inlineStr">
        <is>
          <t>KALMAR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37305-2024</t>
        </is>
      </c>
      <c r="B559" s="1" t="n">
        <v>45540.46863425926</v>
      </c>
      <c r="C559" s="1" t="n">
        <v>46043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3401-2023</t>
        </is>
      </c>
      <c r="B560" s="1" t="n">
        <v>44949</v>
      </c>
      <c r="C560" s="1" t="n">
        <v>46043</v>
      </c>
      <c r="D560" t="inlineStr">
        <is>
          <t>KALMAR LÄN</t>
        </is>
      </c>
      <c r="E560" t="inlineStr">
        <is>
          <t>KALMAR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17701-2024</t>
        </is>
      </c>
      <c r="B561" s="1" t="n">
        <v>45418.46353009259</v>
      </c>
      <c r="C561" s="1" t="n">
        <v>46043</v>
      </c>
      <c r="D561" t="inlineStr">
        <is>
          <t>KALMAR LÄN</t>
        </is>
      </c>
      <c r="E561" t="inlineStr">
        <is>
          <t>KALMAR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7415-2023</t>
        </is>
      </c>
      <c r="B562" s="1" t="n">
        <v>44971.53328703704</v>
      </c>
      <c r="C562" s="1" t="n">
        <v>46043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25740-2023</t>
        </is>
      </c>
      <c r="B563" s="1" t="n">
        <v>45090.42700231481</v>
      </c>
      <c r="C563" s="1" t="n">
        <v>46043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25732-2023</t>
        </is>
      </c>
      <c r="B564" s="1" t="n">
        <v>45090</v>
      </c>
      <c r="C564" s="1" t="n">
        <v>46043</v>
      </c>
      <c r="D564" t="inlineStr">
        <is>
          <t>KALMAR LÄN</t>
        </is>
      </c>
      <c r="E564" t="inlineStr">
        <is>
          <t>KALMAR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68423-2021</t>
        </is>
      </c>
      <c r="B565" s="1" t="n">
        <v>44529</v>
      </c>
      <c r="C565" s="1" t="n">
        <v>46043</v>
      </c>
      <c r="D565" t="inlineStr">
        <is>
          <t>KALMAR LÄN</t>
        </is>
      </c>
      <c r="E565" t="inlineStr">
        <is>
          <t>KALMAR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46043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11487-2023</t>
        </is>
      </c>
      <c r="B567" s="1" t="n">
        <v>44993.63946759259</v>
      </c>
      <c r="C567" s="1" t="n">
        <v>46043</v>
      </c>
      <c r="D567" t="inlineStr">
        <is>
          <t>KALMAR LÄN</t>
        </is>
      </c>
      <c r="E567" t="inlineStr">
        <is>
          <t>KALMAR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56592-2024</t>
        </is>
      </c>
      <c r="B568" s="1" t="n">
        <v>45625</v>
      </c>
      <c r="C568" s="1" t="n">
        <v>46043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49711-2023</t>
        </is>
      </c>
      <c r="B569" s="1" t="n">
        <v>45212</v>
      </c>
      <c r="C569" s="1" t="n">
        <v>46043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46043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9780-2023</t>
        </is>
      </c>
      <c r="B571" s="1" t="n">
        <v>44984</v>
      </c>
      <c r="C571" s="1" t="n">
        <v>46043</v>
      </c>
      <c r="D571" t="inlineStr">
        <is>
          <t>KALMAR LÄN</t>
        </is>
      </c>
      <c r="E571" t="inlineStr">
        <is>
          <t>KALMAR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46043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16804-2024</t>
        </is>
      </c>
      <c r="B573" s="1" t="n">
        <v>45411.45290509259</v>
      </c>
      <c r="C573" s="1" t="n">
        <v>46043</v>
      </c>
      <c r="D573" t="inlineStr">
        <is>
          <t>KALMAR LÄN</t>
        </is>
      </c>
      <c r="E573" t="inlineStr">
        <is>
          <t>KALMAR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21799-2023</t>
        </is>
      </c>
      <c r="B574" s="1" t="n">
        <v>45067</v>
      </c>
      <c r="C574" s="1" t="n">
        <v>46043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57630-2023</t>
        </is>
      </c>
      <c r="B575" s="1" t="n">
        <v>45246</v>
      </c>
      <c r="C575" s="1" t="n">
        <v>46043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38453-2021</t>
        </is>
      </c>
      <c r="B576" s="1" t="n">
        <v>44407.34855324074</v>
      </c>
      <c r="C576" s="1" t="n">
        <v>46043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6719-2021</t>
        </is>
      </c>
      <c r="B577" s="1" t="n">
        <v>44236</v>
      </c>
      <c r="C577" s="1" t="n">
        <v>46043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40171-2021</t>
        </is>
      </c>
      <c r="B578" s="1" t="n">
        <v>44418.68163194445</v>
      </c>
      <c r="C578" s="1" t="n">
        <v>46043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45868-2022</t>
        </is>
      </c>
      <c r="B579" s="1" t="n">
        <v>44846.5583449074</v>
      </c>
      <c r="C579" s="1" t="n">
        <v>46043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21522-2023</t>
        </is>
      </c>
      <c r="B580" s="1" t="n">
        <v>45063</v>
      </c>
      <c r="C580" s="1" t="n">
        <v>46043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56921-2024</t>
        </is>
      </c>
      <c r="B581" s="1" t="n">
        <v>45628.6009837963</v>
      </c>
      <c r="C581" s="1" t="n">
        <v>46043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17067-2023</t>
        </is>
      </c>
      <c r="B582" s="1" t="n">
        <v>45034.48248842593</v>
      </c>
      <c r="C582" s="1" t="n">
        <v>46043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41073-2023</t>
        </is>
      </c>
      <c r="B583" s="1" t="n">
        <v>45173.65185185185</v>
      </c>
      <c r="C583" s="1" t="n">
        <v>46043</v>
      </c>
      <c r="D583" t="inlineStr">
        <is>
          <t>KALMAR LÄN</t>
        </is>
      </c>
      <c r="E583" t="inlineStr">
        <is>
          <t>KALMAR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41155-2023</t>
        </is>
      </c>
      <c r="B584" s="1" t="n">
        <v>45174.29445601852</v>
      </c>
      <c r="C584" s="1" t="n">
        <v>46043</v>
      </c>
      <c r="D584" t="inlineStr">
        <is>
          <t>KALMAR LÄN</t>
        </is>
      </c>
      <c r="E584" t="inlineStr">
        <is>
          <t>KALMAR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27565-2023</t>
        </is>
      </c>
      <c r="B585" s="1" t="n">
        <v>45097</v>
      </c>
      <c r="C585" s="1" t="n">
        <v>46043</v>
      </c>
      <c r="D585" t="inlineStr">
        <is>
          <t>KALMAR LÄN</t>
        </is>
      </c>
      <c r="E585" t="inlineStr">
        <is>
          <t>KALMAR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51155-2023</t>
        </is>
      </c>
      <c r="B586" s="1" t="n">
        <v>45219.37208333334</v>
      </c>
      <c r="C586" s="1" t="n">
        <v>46043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56905-2024</t>
        </is>
      </c>
      <c r="B587" s="1" t="n">
        <v>45628.58701388889</v>
      </c>
      <c r="C587" s="1" t="n">
        <v>46043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62941-2023</t>
        </is>
      </c>
      <c r="B588" s="1" t="n">
        <v>45272</v>
      </c>
      <c r="C588" s="1" t="n">
        <v>46043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31045-2023</t>
        </is>
      </c>
      <c r="B589" s="1" t="n">
        <v>45113</v>
      </c>
      <c r="C589" s="1" t="n">
        <v>46043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40986-2023</t>
        </is>
      </c>
      <c r="B590" s="1" t="n">
        <v>45173.50910879629</v>
      </c>
      <c r="C590" s="1" t="n">
        <v>46043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7495-2023</t>
        </is>
      </c>
      <c r="B591" s="1" t="n">
        <v>44971</v>
      </c>
      <c r="C591" s="1" t="n">
        <v>46043</v>
      </c>
      <c r="D591" t="inlineStr">
        <is>
          <t>KALMAR LÄN</t>
        </is>
      </c>
      <c r="E591" t="inlineStr">
        <is>
          <t>KALMAR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9858-2024</t>
        </is>
      </c>
      <c r="B592" s="1" t="n">
        <v>45363.41396990741</v>
      </c>
      <c r="C592" s="1" t="n">
        <v>46043</v>
      </c>
      <c r="D592" t="inlineStr">
        <is>
          <t>KALMAR LÄN</t>
        </is>
      </c>
      <c r="E592" t="inlineStr">
        <is>
          <t>KALMAR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HYPERLINK("https://klasma.github.io/Logging_0880/knärot/A 9858-2024 karta knärot.png", "A 9858-2024")</f>
        <v/>
      </c>
      <c r="V592">
        <f>HYPERLINK("https://klasma.github.io/Logging_0880/klagomål/A 9858-2024 FSC-klagomål.docx", "A 9858-2024")</f>
        <v/>
      </c>
      <c r="W592">
        <f>HYPERLINK("https://klasma.github.io/Logging_0880/klagomålsmail/A 9858-2024 FSC-klagomål mail.docx", "A 9858-2024")</f>
        <v/>
      </c>
      <c r="X592">
        <f>HYPERLINK("https://klasma.github.io/Logging_0880/tillsyn/A 9858-2024 tillsynsbegäran.docx", "A 9858-2024")</f>
        <v/>
      </c>
      <c r="Y592">
        <f>HYPERLINK("https://klasma.github.io/Logging_0880/tillsynsmail/A 9858-2024 tillsynsbegäran mail.docx", "A 9858-2024")</f>
        <v/>
      </c>
    </row>
    <row r="593" ht="15" customHeight="1">
      <c r="A593" t="inlineStr">
        <is>
          <t>A 14535-2025</t>
        </is>
      </c>
      <c r="B593" s="1" t="n">
        <v>45741.65971064815</v>
      </c>
      <c r="C593" s="1" t="n">
        <v>46043</v>
      </c>
      <c r="D593" t="inlineStr">
        <is>
          <t>KALMAR LÄN</t>
        </is>
      </c>
      <c r="E593" t="inlineStr">
        <is>
          <t>KALMAR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13141-2025</t>
        </is>
      </c>
      <c r="B594" s="1" t="n">
        <v>45735.29974537037</v>
      </c>
      <c r="C594" s="1" t="n">
        <v>46043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41633-2023</t>
        </is>
      </c>
      <c r="B595" s="1" t="n">
        <v>45175</v>
      </c>
      <c r="C595" s="1" t="n">
        <v>46043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44046-2023</t>
        </is>
      </c>
      <c r="B596" s="1" t="n">
        <v>45188.38238425926</v>
      </c>
      <c r="C596" s="1" t="n">
        <v>46043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42655-2023</t>
        </is>
      </c>
      <c r="B597" s="1" t="n">
        <v>45181.53854166667</v>
      </c>
      <c r="C597" s="1" t="n">
        <v>46043</v>
      </c>
      <c r="D597" t="inlineStr">
        <is>
          <t>KALMAR LÄN</t>
        </is>
      </c>
      <c r="E597" t="inlineStr">
        <is>
          <t>KALMAR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20913-2024</t>
        </is>
      </c>
      <c r="B598" s="1" t="n">
        <v>45439.49431712963</v>
      </c>
      <c r="C598" s="1" t="n">
        <v>46043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46043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39350-2024</t>
        </is>
      </c>
      <c r="B600" s="1" t="n">
        <v>45551.45412037037</v>
      </c>
      <c r="C600" s="1" t="n">
        <v>46043</v>
      </c>
      <c r="D600" t="inlineStr">
        <is>
          <t>KALMAR LÄN</t>
        </is>
      </c>
      <c r="E600" t="inlineStr">
        <is>
          <t>KALMAR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40814-2024</t>
        </is>
      </c>
      <c r="B601" s="1" t="n">
        <v>45558.55011574074</v>
      </c>
      <c r="C601" s="1" t="n">
        <v>46043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20611-2025</t>
        </is>
      </c>
      <c r="B602" s="1" t="n">
        <v>45775.89869212963</v>
      </c>
      <c r="C602" s="1" t="n">
        <v>46043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21964-2024</t>
        </is>
      </c>
      <c r="B603" s="1" t="n">
        <v>45443.49804398148</v>
      </c>
      <c r="C603" s="1" t="n">
        <v>46043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21458-2025</t>
        </is>
      </c>
      <c r="B604" s="1" t="n">
        <v>45782.56037037037</v>
      </c>
      <c r="C604" s="1" t="n">
        <v>46043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21458-2025 karta knärot.png", "A 21458-2025")</f>
        <v/>
      </c>
      <c r="V604">
        <f>HYPERLINK("https://klasma.github.io/Logging_0880/klagomål/A 21458-2025 FSC-klagomål.docx", "A 21458-2025")</f>
        <v/>
      </c>
      <c r="W604">
        <f>HYPERLINK("https://klasma.github.io/Logging_0880/klagomålsmail/A 21458-2025 FSC-klagomål mail.docx", "A 21458-2025")</f>
        <v/>
      </c>
      <c r="X604">
        <f>HYPERLINK("https://klasma.github.io/Logging_0880/tillsyn/A 21458-2025 tillsynsbegäran.docx", "A 21458-2025")</f>
        <v/>
      </c>
      <c r="Y604">
        <f>HYPERLINK("https://klasma.github.io/Logging_0880/tillsynsmail/A 21458-2025 tillsynsbegäran mail.docx", "A 21458-2025")</f>
        <v/>
      </c>
    </row>
    <row r="605" ht="15" customHeight="1">
      <c r="A605" t="inlineStr">
        <is>
          <t>A 21471-2025</t>
        </is>
      </c>
      <c r="B605" s="1" t="n">
        <v>45782.59019675926</v>
      </c>
      <c r="C605" s="1" t="n">
        <v>46043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21496-2025</t>
        </is>
      </c>
      <c r="B606" s="1" t="n">
        <v>45782.59994212963</v>
      </c>
      <c r="C606" s="1" t="n">
        <v>46043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46043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592-2025</t>
        </is>
      </c>
      <c r="B608" s="1" t="n">
        <v>45664.58763888889</v>
      </c>
      <c r="C608" s="1" t="n">
        <v>46043</v>
      </c>
      <c r="D608" t="inlineStr">
        <is>
          <t>KALMAR LÄN</t>
        </is>
      </c>
      <c r="E608" t="inlineStr">
        <is>
          <t>KALMAR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9877-2024</t>
        </is>
      </c>
      <c r="B609" s="1" t="n">
        <v>45363.44701388889</v>
      </c>
      <c r="C609" s="1" t="n">
        <v>46043</v>
      </c>
      <c r="D609" t="inlineStr">
        <is>
          <t>KALMAR LÄN</t>
        </is>
      </c>
      <c r="E609" t="inlineStr">
        <is>
          <t>KALMAR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22171-2025</t>
        </is>
      </c>
      <c r="B610" s="1" t="n">
        <v>45785.59967592593</v>
      </c>
      <c r="C610" s="1" t="n">
        <v>46043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22300-2025</t>
        </is>
      </c>
      <c r="B611" s="1" t="n">
        <v>45786.35510416667</v>
      </c>
      <c r="C611" s="1" t="n">
        <v>46043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459-2025</t>
        </is>
      </c>
      <c r="B612" s="1" t="n">
        <v>45664.40896990741</v>
      </c>
      <c r="C612" s="1" t="n">
        <v>46043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2026-01-21T10:52:34Z</dcterms:created>
  <dcterms:modified xmlns:dcterms="http://purl.org/dc/terms/" xmlns:xsi="http://www.w3.org/2001/XMLSchema-instance" xsi:type="dcterms:W3CDTF">2026-01-21T10:52:34Z</dcterms:modified>
</cp:coreProperties>
</file>