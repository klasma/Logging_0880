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46272</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46272</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46272</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46272</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46272</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46272</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46272</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46272</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46272</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51110-2025</t>
        </is>
      </c>
      <c r="B11" t="inlineStr">
        <is>
          <t>avverkningsanmälan</t>
        </is>
      </c>
      <c r="C11" t="inlineStr">
        <is>
          <t>Föryngringsavverkning</t>
        </is>
      </c>
      <c r="D11" s="1" t="n">
        <v>45947</v>
      </c>
      <c r="E11" s="1" t="n">
        <v>46272</v>
      </c>
      <c r="F11" t="inlineStr">
        <is>
          <t>KALMAR LÄN</t>
        </is>
      </c>
      <c r="G11" t="inlineStr">
        <is>
          <t>KALMAR</t>
        </is>
      </c>
      <c r="I11" t="n">
        <v>2.2</v>
      </c>
      <c r="J11" t="n">
        <v>3</v>
      </c>
      <c r="K11" t="n">
        <v>3</v>
      </c>
      <c r="L11" t="n">
        <v>4</v>
      </c>
      <c r="M11" t="n">
        <v>1</v>
      </c>
      <c r="N11" t="n">
        <v>0</v>
      </c>
      <c r="O11" t="n">
        <v>0</v>
      </c>
      <c r="P11" t="n">
        <v>0</v>
      </c>
      <c r="Q11" t="n">
        <v>5</v>
      </c>
      <c r="R11" t="n">
        <v>1</v>
      </c>
      <c r="S11" t="n">
        <v>9</v>
      </c>
      <c r="T11" t="n">
        <v>23</v>
      </c>
      <c r="U11" t="n">
        <v>0</v>
      </c>
      <c r="V11" s="2" t="inlineStr">
        <is>
          <t>Knärot
Kattfotslav
Reliktbock
Tallkötticka
Talltita
Blåmossa
Brandticka
Bronshjon
Spillkråka</t>
        </is>
      </c>
      <c r="W11">
        <f>HYPERLINK("https://klasma.github.io/Logging_0880/artfynd/A 51110-2025 artfynd.xlsx", "A 51110-2025")</f>
        <v/>
      </c>
      <c r="X11">
        <f>HYPERLINK("https://klasma.github.io/Logging_0880/kartor/A 51110-2025 karta.png", "A 51110-2025")</f>
        <v/>
      </c>
      <c r="Y11">
        <f>HYPERLINK("https://klasma.github.io/Logging_0880/kartor_geotiff/A 51110-2025 georefererad karta.tif", "A 51110-2025")</f>
        <v/>
      </c>
      <c r="Z11">
        <f>HYPERLINK("https://klasma.github.io/Logging_0880/knärot/A 51110-2025 karta knärot.png", "A 51110-2025")</f>
        <v/>
      </c>
      <c r="AA11">
        <f>HYPERLINK("https://klasma.github.io/Logging_0880/klagomål/A 51110-2025 FSC-klagomål.docx", "A 51110-2025")</f>
        <v/>
      </c>
      <c r="AB11">
        <f>HYPERLINK("https://klasma.github.io/Logging_0880/klagomålsmail/A 51110-2025 FSC-klagomål mail.docx", "A 51110-2025")</f>
        <v/>
      </c>
      <c r="AC11">
        <f>HYPERLINK("https://klasma.github.io/Logging_0880/tillsyn/A 51110-2025 tillsynsbegäran.docx", "A 51110-2025")</f>
        <v/>
      </c>
      <c r="AD11">
        <f>HYPERLINK("https://klasma.github.io/Logging_0880/tillsynsmail/A 51110-2025 tillsynsbegäran mail.docx", "A 51110-2025")</f>
        <v/>
      </c>
      <c r="AE11">
        <f>HYPERLINK("https://klasma.github.io/Logging_0880/fåglar/A 51110-2025 prioriterade fågelarter.docx", "A 51110-2025")</f>
        <v/>
      </c>
    </row>
    <row r="12" ht="15" customHeight="1">
      <c r="A12" t="inlineStr">
        <is>
          <t>A 58854-2021</t>
        </is>
      </c>
      <c r="B12" t="inlineStr">
        <is>
          <t>avverkningsanmälan</t>
        </is>
      </c>
      <c r="C12" t="inlineStr">
        <is>
          <t>Föryngringsavverkning</t>
        </is>
      </c>
      <c r="D12" s="1" t="n">
        <v>44489</v>
      </c>
      <c r="E12" s="1" t="n">
        <v>46272</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53138-2022</t>
        </is>
      </c>
      <c r="B13" t="inlineStr">
        <is>
          <t>avverkningsanmälan</t>
        </is>
      </c>
      <c r="C13" t="inlineStr">
        <is>
          <t>Föryngringsavverkning</t>
        </is>
      </c>
      <c r="D13" s="1" t="n">
        <v>44876</v>
      </c>
      <c r="E13" s="1" t="n">
        <v>46272</v>
      </c>
      <c r="F13" t="inlineStr">
        <is>
          <t>KALMAR LÄN</t>
        </is>
      </c>
      <c r="G13" t="inlineStr">
        <is>
          <t>KALMAR</t>
        </is>
      </c>
      <c r="I13" t="n">
        <v>4</v>
      </c>
      <c r="J13" t="n">
        <v>3</v>
      </c>
      <c r="K13" t="n">
        <v>5</v>
      </c>
      <c r="L13" t="n">
        <v>2</v>
      </c>
      <c r="M13" t="n">
        <v>1</v>
      </c>
      <c r="N13" t="n">
        <v>0</v>
      </c>
      <c r="O13" t="n">
        <v>0</v>
      </c>
      <c r="P13" t="n">
        <v>0</v>
      </c>
      <c r="Q13" t="n">
        <v>3</v>
      </c>
      <c r="R13" t="n">
        <v>1</v>
      </c>
      <c r="S13" t="n">
        <v>9</v>
      </c>
      <c r="T13" t="n">
        <v>37</v>
      </c>
      <c r="U13" t="n">
        <v>6</v>
      </c>
      <c r="V13" s="2" t="inlineStr">
        <is>
          <t>Knärot
Motaggsvamp
Talltita
Blomkålssvamp
Brandticka
Flagellkvastmossa
Havstulpanlav
Kornknutmossa
Spillkråka</t>
        </is>
      </c>
      <c r="W13">
        <f>HYPERLINK("https://klasma.github.io/Logging_0880/artfynd/A 53138-2022 artfynd.xlsx", "A 53138-2022")</f>
        <v/>
      </c>
      <c r="X13">
        <f>HYPERLINK("https://klasma.github.io/Logging_0880/kartor/A 53138-2022 karta.png", "A 53138-2022")</f>
        <v/>
      </c>
      <c r="Y13">
        <f>HYPERLINK("https://klasma.github.io/Logging_0880/kartor_geotiff/A 53138-2022 georefererad karta.tif", "A 53138-2022")</f>
        <v/>
      </c>
      <c r="Z13">
        <f>HYPERLINK("https://klasma.github.io/Logging_0880/knärot/A 53138-2022 karta knärot.png", "A 53138-2022")</f>
        <v/>
      </c>
      <c r="AA13">
        <f>HYPERLINK("https://klasma.github.io/Logging_0880/klagomål/A 53138-2022 FSC-klagomål.docx", "A 53138-2022")</f>
        <v/>
      </c>
      <c r="AB13">
        <f>HYPERLINK("https://klasma.github.io/Logging_0880/klagomålsmail/A 53138-2022 FSC-klagomål mail.docx", "A 53138-2022")</f>
        <v/>
      </c>
      <c r="AC13">
        <f>HYPERLINK("https://klasma.github.io/Logging_0880/tillsyn/A 53138-2022 tillsynsbegäran.docx", "A 53138-2022")</f>
        <v/>
      </c>
      <c r="AD13">
        <f>HYPERLINK("https://klasma.github.io/Logging_0880/tillsynsmail/A 53138-2022 tillsynsbegäran mail.docx", "A 53138-2022")</f>
        <v/>
      </c>
      <c r="AE13">
        <f>HYPERLINK("https://klasma.github.io/Logging_0880/fåglar/A 53138-2022 prioriterade fågelarter.docx", "A 53138-2022")</f>
        <v/>
      </c>
    </row>
    <row r="14" ht="15" customHeight="1">
      <c r="A14" t="inlineStr">
        <is>
          <t>A 55671-2021</t>
        </is>
      </c>
      <c r="B14" t="inlineStr">
        <is>
          <t>avverkningsanmälan</t>
        </is>
      </c>
      <c r="C14" t="inlineStr">
        <is>
          <t>Föryngringsavverkning</t>
        </is>
      </c>
      <c r="D14" s="1" t="n">
        <v>44476</v>
      </c>
      <c r="E14" s="1" t="n">
        <v>46272</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46272</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46272</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49276-2021</t>
        </is>
      </c>
      <c r="B17" t="inlineStr">
        <is>
          <t>avverkningsanmälan</t>
        </is>
      </c>
      <c r="C17" t="inlineStr">
        <is>
          <t>Föryngringsavverkning</t>
        </is>
      </c>
      <c r="D17" s="1" t="n">
        <v>44454</v>
      </c>
      <c r="E17" s="1" t="n">
        <v>46272</v>
      </c>
      <c r="F17" t="inlineStr">
        <is>
          <t>KALMAR LÄN</t>
        </is>
      </c>
      <c r="G17" t="inlineStr">
        <is>
          <t>KALMAR</t>
        </is>
      </c>
      <c r="I17" t="n">
        <v>2.8</v>
      </c>
      <c r="J17" t="n">
        <v>3</v>
      </c>
      <c r="K17" t="n">
        <v>2</v>
      </c>
      <c r="L17" t="n">
        <v>3</v>
      </c>
      <c r="M17" t="n">
        <v>1</v>
      </c>
      <c r="N17" t="n">
        <v>0</v>
      </c>
      <c r="O17" t="n">
        <v>0</v>
      </c>
      <c r="P17" t="n">
        <v>0</v>
      </c>
      <c r="Q17" t="n">
        <v>4</v>
      </c>
      <c r="R17" t="n">
        <v>1</v>
      </c>
      <c r="S17" t="n">
        <v>7</v>
      </c>
      <c r="T17" t="n">
        <v>23</v>
      </c>
      <c r="U17" t="n">
        <v>23</v>
      </c>
      <c r="V17" s="2" t="inlineStr">
        <is>
          <t>Knärot
Motaggsvamp
Talltita
Ullticka
Blåmossa
Vedticka
Spillkråka</t>
        </is>
      </c>
      <c r="W17">
        <f>HYPERLINK("https://klasma.github.io/Logging_0880/artfynd/A 49276-2021 artfynd.xlsx", "A 49276-2021")</f>
        <v/>
      </c>
      <c r="X17">
        <f>HYPERLINK("https://klasma.github.io/Logging_0880/kartor/A 49276-2021 karta.png", "A 49276-2021")</f>
        <v/>
      </c>
      <c r="Y17">
        <f>HYPERLINK("https://klasma.github.io/Logging_0880/kartor_geotiff/A 49276-2021 georefererad karta.tif", "A 49276-2021")</f>
        <v/>
      </c>
      <c r="Z17">
        <f>HYPERLINK("https://klasma.github.io/Logging_0880/knärot/A 49276-2021 karta knärot.png", "A 49276-2021")</f>
        <v/>
      </c>
      <c r="AA17">
        <f>HYPERLINK("https://klasma.github.io/Logging_0880/klagomål/A 49276-2021 FSC-klagomål.docx", "A 49276-2021")</f>
        <v/>
      </c>
      <c r="AB17">
        <f>HYPERLINK("https://klasma.github.io/Logging_0880/klagomålsmail/A 49276-2021 FSC-klagomål mail.docx", "A 49276-2021")</f>
        <v/>
      </c>
      <c r="AC17">
        <f>HYPERLINK("https://klasma.github.io/Logging_0880/tillsyn/A 49276-2021 tillsynsbegäran.docx", "A 49276-2021")</f>
        <v/>
      </c>
      <c r="AD17">
        <f>HYPERLINK("https://klasma.github.io/Logging_0880/tillsynsmail/A 49276-2021 tillsynsbegäran mail.docx", "A 49276-2021")</f>
        <v/>
      </c>
      <c r="AE17">
        <f>HYPERLINK("https://klasma.github.io/Logging_0880/fåglar/A 49276-2021 prioriterade fågelarter.docx", "A 49276-2021")</f>
        <v/>
      </c>
    </row>
    <row r="18" ht="15" customHeight="1">
      <c r="A18" t="inlineStr">
        <is>
          <t>A 15774-2026</t>
        </is>
      </c>
      <c r="B18" t="inlineStr">
        <is>
          <t>avverkningsanmälan</t>
        </is>
      </c>
      <c r="C18" t="inlineStr">
        <is>
          <t>Föryngringsavverkning</t>
        </is>
      </c>
      <c r="D18" s="1" t="n">
        <v>46107</v>
      </c>
      <c r="E18" s="1" t="n">
        <v>46272</v>
      </c>
      <c r="F18" t="inlineStr">
        <is>
          <t>KALMAR LÄN</t>
        </is>
      </c>
      <c r="G18" t="inlineStr">
        <is>
          <t>KALMAR</t>
        </is>
      </c>
      <c r="I18" t="n">
        <v>6.6</v>
      </c>
      <c r="J18" t="n">
        <v>7</v>
      </c>
      <c r="K18" t="n">
        <v>1</v>
      </c>
      <c r="L18" t="n">
        <v>0</v>
      </c>
      <c r="M18" t="n">
        <v>1</v>
      </c>
      <c r="N18" t="n">
        <v>0</v>
      </c>
      <c r="O18" t="n">
        <v>0</v>
      </c>
      <c r="P18" t="n">
        <v>0</v>
      </c>
      <c r="Q18" t="n">
        <v>1</v>
      </c>
      <c r="R18" t="n">
        <v>1</v>
      </c>
      <c r="S18" t="n">
        <v>7</v>
      </c>
      <c r="T18" t="n">
        <v>13</v>
      </c>
      <c r="U18" t="n">
        <v>1</v>
      </c>
      <c r="V18" s="2" t="inlineStr">
        <is>
          <t>Sandödla
Ekoxe
Blåsippa
Nattskärra
Citronfläckad kärrtrollslända
Långbensgroda
Trädlärka</t>
        </is>
      </c>
      <c r="W18">
        <f>HYPERLINK("https://klasma.github.io/Logging_0880/artfynd/A 15774-2026 artfynd.xlsx", "A 15774-2026")</f>
        <v/>
      </c>
      <c r="X18">
        <f>HYPERLINK("https://klasma.github.io/Logging_0880/kartor/A 15774-2026 karta.png", "A 15774-2026")</f>
        <v/>
      </c>
      <c r="Y18">
        <f>HYPERLINK("https://klasma.github.io/Logging_0880/kartor_geotiff/A 15774-2026 georefererad karta.tif", "A 15774-2026")</f>
        <v/>
      </c>
      <c r="AA18">
        <f>HYPERLINK("https://klasma.github.io/Logging_0880/klagomål/A 15774-2026 FSC-klagomål.docx", "A 15774-2026")</f>
        <v/>
      </c>
      <c r="AB18">
        <f>HYPERLINK("https://klasma.github.io/Logging_0880/klagomålsmail/A 15774-2026 FSC-klagomål mail.docx", "A 15774-2026")</f>
        <v/>
      </c>
      <c r="AC18">
        <f>HYPERLINK("https://klasma.github.io/Logging_0880/tillsyn/A 15774-2026 tillsynsbegäran.docx", "A 15774-2026")</f>
        <v/>
      </c>
      <c r="AD18">
        <f>HYPERLINK("https://klasma.github.io/Logging_0880/tillsynsmail/A 15774-2026 tillsynsbegäran mail.docx", "A 15774-2026")</f>
        <v/>
      </c>
      <c r="AE18">
        <f>HYPERLINK("https://klasma.github.io/Logging_0880/fåglar/A 15774-2026 prioriterade fågelarter.docx", "A 15774-2026")</f>
        <v/>
      </c>
    </row>
    <row r="19" ht="15" customHeight="1">
      <c r="A19" t="inlineStr">
        <is>
          <t>A 4183-2024</t>
        </is>
      </c>
      <c r="B19" t="inlineStr">
        <is>
          <t>avverkningsanmälan</t>
        </is>
      </c>
      <c r="C19" t="inlineStr">
        <is>
          <t>Avverkning för annat ändamål</t>
        </is>
      </c>
      <c r="D19" s="1" t="n">
        <v>45324</v>
      </c>
      <c r="E19" s="1" t="n">
        <v>46272</v>
      </c>
      <c r="F19" t="inlineStr">
        <is>
          <t>KALMAR LÄN</t>
        </is>
      </c>
      <c r="G19" t="inlineStr">
        <is>
          <t>KALMAR</t>
        </is>
      </c>
      <c r="I19" t="n">
        <v>3</v>
      </c>
      <c r="J19" t="n">
        <v>3</v>
      </c>
      <c r="K19" t="n">
        <v>1</v>
      </c>
      <c r="L19" t="n">
        <v>3</v>
      </c>
      <c r="M19" t="n">
        <v>1</v>
      </c>
      <c r="N19" t="n">
        <v>0</v>
      </c>
      <c r="O19" t="n">
        <v>0</v>
      </c>
      <c r="P19" t="n">
        <v>0</v>
      </c>
      <c r="Q19" t="n">
        <v>4</v>
      </c>
      <c r="R19" t="n">
        <v>1</v>
      </c>
      <c r="S19" t="n">
        <v>7</v>
      </c>
      <c r="T19" t="n">
        <v>11</v>
      </c>
      <c r="U19" t="n">
        <v>10</v>
      </c>
      <c r="V19" s="2" t="inlineStr">
        <is>
          <t>Backsippa
Flentimotej
Solvända
Tallticka
Murgröna
Blåsippa
Grönvit nattviol</t>
        </is>
      </c>
      <c r="W19">
        <f>HYPERLINK("https://klasma.github.io/Logging_0880/artfynd/A 4183-2024 artfynd.xlsx", "A 4183-2024")</f>
        <v/>
      </c>
      <c r="X19">
        <f>HYPERLINK("https://klasma.github.io/Logging_0880/kartor/A 4183-2024 karta.png", "A 4183-2024")</f>
        <v/>
      </c>
      <c r="Y19">
        <f>HYPERLINK("https://klasma.github.io/Logging_0880/kartor_geotiff/A 4183-2024 georefererad karta.tif", "A 4183-2024")</f>
        <v/>
      </c>
      <c r="AA19">
        <f>HYPERLINK("https://klasma.github.io/Logging_0880/klagomål/A 4183-2024 FSC-klagomål.docx", "A 4183-2024")</f>
        <v/>
      </c>
      <c r="AB19">
        <f>HYPERLINK("https://klasma.github.io/Logging_0880/klagomålsmail/A 4183-2024 FSC-klagomål mail.docx", "A 4183-2024")</f>
        <v/>
      </c>
      <c r="AC19">
        <f>HYPERLINK("https://klasma.github.io/Logging_0880/tillsyn/A 4183-2024 tillsynsbegäran.docx", "A 4183-2024")</f>
        <v/>
      </c>
      <c r="AD19">
        <f>HYPERLINK("https://klasma.github.io/Logging_0880/tillsynsmail/A 4183-2024 tillsynsbegäran mail.docx", "A 4183-2024")</f>
        <v/>
      </c>
    </row>
    <row r="20" ht="15" customHeight="1">
      <c r="A20" t="inlineStr">
        <is>
          <t>A 610-2025</t>
        </is>
      </c>
      <c r="B20" t="inlineStr">
        <is>
          <t>avverkningsanmälan</t>
        </is>
      </c>
      <c r="C20" t="inlineStr">
        <is>
          <t>Föryngringsavverkning</t>
        </is>
      </c>
      <c r="D20" s="1" t="n">
        <v>45664</v>
      </c>
      <c r="E20" s="1" t="n">
        <v>46272</v>
      </c>
      <c r="F20" t="inlineStr">
        <is>
          <t>KALMAR LÄN</t>
        </is>
      </c>
      <c r="G20" t="inlineStr">
        <is>
          <t>KALMAR</t>
        </is>
      </c>
      <c r="I20" t="n">
        <v>5.3</v>
      </c>
      <c r="J20" t="n">
        <v>3</v>
      </c>
      <c r="K20" t="n">
        <v>3</v>
      </c>
      <c r="L20" t="n">
        <v>2</v>
      </c>
      <c r="M20" t="n">
        <v>1</v>
      </c>
      <c r="N20" t="n">
        <v>0</v>
      </c>
      <c r="O20" t="n">
        <v>0</v>
      </c>
      <c r="P20" t="n">
        <v>0</v>
      </c>
      <c r="Q20" t="n">
        <v>3</v>
      </c>
      <c r="R20" t="n">
        <v>1</v>
      </c>
      <c r="S20" t="n">
        <v>7</v>
      </c>
      <c r="T20" t="n">
        <v>24</v>
      </c>
      <c r="U20" t="n">
        <v>0</v>
      </c>
      <c r="V20" s="2" t="inlineStr">
        <is>
          <t>Knärot
Talltita
Ullticka
Blomkålssvamp
Blåmossa
Vedticka
Spillkråka</t>
        </is>
      </c>
      <c r="W20">
        <f>HYPERLINK("https://klasma.github.io/Logging_0880/artfynd/A 610-2025 artfynd.xlsx", "A 610-2025")</f>
        <v/>
      </c>
      <c r="X20">
        <f>HYPERLINK("https://klasma.github.io/Logging_0880/kartor/A 610-2025 karta.png", "A 610-2025")</f>
        <v/>
      </c>
      <c r="Y20">
        <f>HYPERLINK("https://klasma.github.io/Logging_0880/kartor_geotiff/A 610-2025 georefererad karta.tif", "A 610-2025")</f>
        <v/>
      </c>
      <c r="Z20">
        <f>HYPERLINK("https://klasma.github.io/Logging_0880/knärot/A 610-2025 karta knärot.png", "A 610-2025")</f>
        <v/>
      </c>
      <c r="AA20">
        <f>HYPERLINK("https://klasma.github.io/Logging_0880/klagomål/A 610-2025 FSC-klagomål.docx", "A 610-2025")</f>
        <v/>
      </c>
      <c r="AB20">
        <f>HYPERLINK("https://klasma.github.io/Logging_0880/klagomålsmail/A 610-2025 FSC-klagomål mail.docx", "A 610-2025")</f>
        <v/>
      </c>
      <c r="AC20">
        <f>HYPERLINK("https://klasma.github.io/Logging_0880/tillsyn/A 610-2025 tillsynsbegäran.docx", "A 610-2025")</f>
        <v/>
      </c>
      <c r="AD20">
        <f>HYPERLINK("https://klasma.github.io/Logging_0880/tillsynsmail/A 610-2025 tillsynsbegäran mail.docx", "A 610-2025")</f>
        <v/>
      </c>
      <c r="AE20">
        <f>HYPERLINK("https://klasma.github.io/Logging_0880/fåglar/A 610-2025 prioriterade fågelarter.docx", "A 610-2025")</f>
        <v/>
      </c>
    </row>
    <row r="21" ht="15" customHeight="1">
      <c r="A21" t="inlineStr">
        <is>
          <t>A 41999-2024</t>
        </is>
      </c>
      <c r="B21" t="inlineStr">
        <is>
          <t>avverkningsanmälan</t>
        </is>
      </c>
      <c r="C21" t="inlineStr">
        <is>
          <t>Föryngringsavverkning</t>
        </is>
      </c>
      <c r="D21" s="1" t="n">
        <v>45561</v>
      </c>
      <c r="E21" s="1" t="n">
        <v>46272</v>
      </c>
      <c r="F21" t="inlineStr">
        <is>
          <t>KALMAR LÄN</t>
        </is>
      </c>
      <c r="G21" t="inlineStr">
        <is>
          <t>KALMAR</t>
        </is>
      </c>
      <c r="H21" t="inlineStr">
        <is>
          <t>Kyrkan</t>
        </is>
      </c>
      <c r="I21" t="n">
        <v>1.8</v>
      </c>
      <c r="J21" t="n">
        <v>4</v>
      </c>
      <c r="K21" t="n">
        <v>1</v>
      </c>
      <c r="L21" t="n">
        <v>1</v>
      </c>
      <c r="M21" t="n">
        <v>1</v>
      </c>
      <c r="N21" t="n">
        <v>0</v>
      </c>
      <c r="O21" t="n">
        <v>0</v>
      </c>
      <c r="P21" t="n">
        <v>0</v>
      </c>
      <c r="Q21" t="n">
        <v>2</v>
      </c>
      <c r="R21" t="n">
        <v>1</v>
      </c>
      <c r="S21" t="n">
        <v>6</v>
      </c>
      <c r="T21" t="n">
        <v>6</v>
      </c>
      <c r="U21" t="n">
        <v>6</v>
      </c>
      <c r="V21" s="2" t="inlineStr">
        <is>
          <t>Knärot
Backtimjan
Murgröna
Blåsippa
Gullviva
Revlummer</t>
        </is>
      </c>
      <c r="W21">
        <f>HYPERLINK("https://klasma.github.io/Logging_0880/artfynd/A 41999-2024 artfynd.xlsx", "A 41999-2024")</f>
        <v/>
      </c>
      <c r="X21">
        <f>HYPERLINK("https://klasma.github.io/Logging_0880/kartor/A 41999-2024 karta.png", "A 41999-2024")</f>
        <v/>
      </c>
      <c r="Y21">
        <f>HYPERLINK("https://klasma.github.io/Logging_0880/kartor_geotiff/A 41999-2024 georefererad karta.tif", "A 41999-2024")</f>
        <v/>
      </c>
      <c r="Z21">
        <f>HYPERLINK("https://klasma.github.io/Logging_0880/knärot/A 41999-2024 karta knärot.png", "A 41999-2024")</f>
        <v/>
      </c>
      <c r="AA21">
        <f>HYPERLINK("https://klasma.github.io/Logging_0880/klagomål/A 41999-2024 FSC-klagomål.docx", "A 41999-2024")</f>
        <v/>
      </c>
      <c r="AB21">
        <f>HYPERLINK("https://klasma.github.io/Logging_0880/klagomålsmail/A 41999-2024 FSC-klagomål mail.docx", "A 41999-2024")</f>
        <v/>
      </c>
      <c r="AC21">
        <f>HYPERLINK("https://klasma.github.io/Logging_0880/tillsyn/A 41999-2024 tillsynsbegäran.docx", "A 41999-2024")</f>
        <v/>
      </c>
      <c r="AD21">
        <f>HYPERLINK("https://klasma.github.io/Logging_0880/tillsynsmail/A 41999-2024 tillsynsbegäran mail.docx", "A 41999-2024")</f>
        <v/>
      </c>
    </row>
    <row r="22" ht="15" customHeight="1">
      <c r="A22" t="inlineStr">
        <is>
          <t>S 592-2026</t>
        </is>
      </c>
      <c r="B22" t="inlineStr">
        <is>
          <t>samrådsanmälan</t>
        </is>
      </c>
      <c r="C22" t="inlineStr">
        <is>
          <t>Annan skogsbruksåtgärd</t>
        </is>
      </c>
      <c r="D22" s="1" t="n">
        <v>46085</v>
      </c>
      <c r="E22" s="1" t="n">
        <v>46272</v>
      </c>
      <c r="F22" t="inlineStr">
        <is>
          <t>KALMAR LÄN</t>
        </is>
      </c>
      <c r="G22" t="inlineStr">
        <is>
          <t>KALMAR</t>
        </is>
      </c>
      <c r="I22" t="n">
        <v>3.6</v>
      </c>
      <c r="J22" t="n">
        <v>0</v>
      </c>
      <c r="K22" t="n">
        <v>3</v>
      </c>
      <c r="L22" t="n">
        <v>2</v>
      </c>
      <c r="M22" t="n">
        <v>0</v>
      </c>
      <c r="N22" t="n">
        <v>1</v>
      </c>
      <c r="O22" t="n">
        <v>0</v>
      </c>
      <c r="P22" t="n">
        <v>0</v>
      </c>
      <c r="Q22" t="n">
        <v>3</v>
      </c>
      <c r="R22" t="n">
        <v>1</v>
      </c>
      <c r="S22" t="n">
        <v>6</v>
      </c>
      <c r="T22" t="n">
        <v>6</v>
      </c>
      <c r="U22" t="n">
        <v>0</v>
      </c>
      <c r="V22" s="2" t="inlineStr">
        <is>
          <t>Ask
Matt pricklav
Rutskinn
Grå skärelav
Guldlockmossa
Gulnål</t>
        </is>
      </c>
      <c r="W22">
        <f>HYPERLINK("https://klasma.github.io/Logging_0880/artfynd/S 592-2026 artfynd.xlsx", "S 592-2026")</f>
        <v/>
      </c>
      <c r="X22">
        <f>HYPERLINK("https://klasma.github.io/Logging_0880/kartor/S 592-2026 karta.png", "S 592-2026")</f>
        <v/>
      </c>
      <c r="Y22">
        <f>HYPERLINK("https://klasma.github.io/Logging_0880/kartor_geotiff/S 592-2026 georefererad karta.tif", "S 592-2026")</f>
        <v/>
      </c>
      <c r="AA22">
        <f>HYPERLINK("https://klasma.github.io/Logging_0880/klagomål/S 592-2026 FSC-klagomål.docx", "S 592-2026")</f>
        <v/>
      </c>
      <c r="AB22">
        <f>HYPERLINK("https://klasma.github.io/Logging_0880/klagomålsmail/S 592-2026 FSC-klagomål mail.docx", "S 592-2026")</f>
        <v/>
      </c>
      <c r="AC22">
        <f>HYPERLINK("https://klasma.github.io/Logging_0880/tillsyn/S 592-2026 tillsynsbegäran.docx", "S 592-2026")</f>
        <v/>
      </c>
      <c r="AD22">
        <f>HYPERLINK("https://klasma.github.io/Logging_0880/tillsynsmail/S 592-2026 tillsynsbegäran mail.docx", "S 592-2026")</f>
        <v/>
      </c>
    </row>
    <row r="23" ht="15" customHeight="1">
      <c r="A23" t="inlineStr">
        <is>
          <t>A 66992-2021</t>
        </is>
      </c>
      <c r="B23" t="inlineStr">
        <is>
          <t>avverkningsanmälan</t>
        </is>
      </c>
      <c r="C23" t="inlineStr">
        <is>
          <t>Föryngringsavverkning</t>
        </is>
      </c>
      <c r="D23" s="1" t="n">
        <v>44522</v>
      </c>
      <c r="E23" s="1" t="n">
        <v>46272</v>
      </c>
      <c r="F23" t="inlineStr">
        <is>
          <t>KALMAR LÄN</t>
        </is>
      </c>
      <c r="G23" t="inlineStr">
        <is>
          <t>KALMAR</t>
        </is>
      </c>
      <c r="I23" t="n">
        <v>2.8</v>
      </c>
      <c r="J23" t="n">
        <v>2</v>
      </c>
      <c r="K23" t="n">
        <v>0</v>
      </c>
      <c r="L23" t="n">
        <v>2</v>
      </c>
      <c r="M23" t="n">
        <v>2</v>
      </c>
      <c r="N23" t="n">
        <v>0</v>
      </c>
      <c r="O23" t="n">
        <v>0</v>
      </c>
      <c r="P23" t="n">
        <v>0</v>
      </c>
      <c r="Q23" t="n">
        <v>4</v>
      </c>
      <c r="R23" t="n">
        <v>2</v>
      </c>
      <c r="S23" t="n">
        <v>5</v>
      </c>
      <c r="T23" t="n">
        <v>12</v>
      </c>
      <c r="U23" t="n">
        <v>8</v>
      </c>
      <c r="V23" s="2" t="inlineStr">
        <is>
          <t>Bredbrämad bastardsvärmare
Sandödla
Gullklöver
Linmåra/småsnärjmåra
Mattlummer</t>
        </is>
      </c>
      <c r="W23">
        <f>HYPERLINK("https://klasma.github.io/Logging_0880/artfynd/A 66992-2021 artfynd.xlsx", "A 66992-2021")</f>
        <v/>
      </c>
      <c r="X23">
        <f>HYPERLINK("https://klasma.github.io/Logging_0880/kartor/A 66992-2021 karta.png", "A 66992-2021")</f>
        <v/>
      </c>
      <c r="Y23">
        <f>HYPERLINK("https://klasma.github.io/Logging_0880/kartor_geotiff/A 66992-2021 georefererad karta.tif", "A 66992-2021")</f>
        <v/>
      </c>
      <c r="AA23">
        <f>HYPERLINK("https://klasma.github.io/Logging_0880/klagomål/A 66992-2021 FSC-klagomål.docx", "A 66992-2021")</f>
        <v/>
      </c>
      <c r="AB23">
        <f>HYPERLINK("https://klasma.github.io/Logging_0880/klagomålsmail/A 66992-2021 FSC-klagomål mail.docx", "A 66992-2021")</f>
        <v/>
      </c>
      <c r="AC23">
        <f>HYPERLINK("https://klasma.github.io/Logging_0880/tillsyn/A 66992-2021 tillsynsbegäran.docx", "A 66992-2021")</f>
        <v/>
      </c>
      <c r="AD23">
        <f>HYPERLINK("https://klasma.github.io/Logging_0880/tillsynsmail/A 66992-2021 tillsynsbegäran mail.docx", "A 66992-2021")</f>
        <v/>
      </c>
    </row>
    <row r="24" ht="15" customHeight="1">
      <c r="A24" t="inlineStr">
        <is>
          <t>A 6933-2023</t>
        </is>
      </c>
      <c r="B24" t="inlineStr">
        <is>
          <t>avverkningsanmälan</t>
        </is>
      </c>
      <c r="C24" t="inlineStr">
        <is>
          <t>Föryngringsavverkning</t>
        </is>
      </c>
      <c r="D24" s="1" t="n">
        <v>44951</v>
      </c>
      <c r="E24" s="1" t="n">
        <v>46272</v>
      </c>
      <c r="F24" t="inlineStr">
        <is>
          <t>KALMAR LÄN</t>
        </is>
      </c>
      <c r="G24" t="inlineStr">
        <is>
          <t>KALMAR</t>
        </is>
      </c>
      <c r="I24" t="n">
        <v>9.6</v>
      </c>
      <c r="J24" t="n">
        <v>1</v>
      </c>
      <c r="K24" t="n">
        <v>2</v>
      </c>
      <c r="L24" t="n">
        <v>2</v>
      </c>
      <c r="M24" t="n">
        <v>1</v>
      </c>
      <c r="N24" t="n">
        <v>0</v>
      </c>
      <c r="O24" t="n">
        <v>0</v>
      </c>
      <c r="P24" t="n">
        <v>0</v>
      </c>
      <c r="Q24" t="n">
        <v>3</v>
      </c>
      <c r="R24" t="n">
        <v>1</v>
      </c>
      <c r="S24" t="n">
        <v>5</v>
      </c>
      <c r="T24" t="n">
        <v>8</v>
      </c>
      <c r="U24" t="n">
        <v>7</v>
      </c>
      <c r="V24" s="2" t="inlineStr">
        <is>
          <t>Knärot
Aspstumpbagge
Fyrflikig jordstjärna
Blåmossa
Rävticka</t>
        </is>
      </c>
      <c r="W24">
        <f>HYPERLINK("https://klasma.github.io/Logging_0880/artfynd/A 6933-2023 artfynd.xlsx", "A 6933-2023")</f>
        <v/>
      </c>
      <c r="X24">
        <f>HYPERLINK("https://klasma.github.io/Logging_0880/kartor/A 6933-2023 karta.png", "A 6933-2023")</f>
        <v/>
      </c>
      <c r="Y24">
        <f>HYPERLINK("https://klasma.github.io/Logging_0880/kartor_geotiff/A 6933-2023 georefererad karta.tif", "A 6933-2023")</f>
        <v/>
      </c>
      <c r="Z24">
        <f>HYPERLINK("https://klasma.github.io/Logging_0880/knärot/A 6933-2023 karta knärot.png", "A 6933-2023")</f>
        <v/>
      </c>
      <c r="AA24">
        <f>HYPERLINK("https://klasma.github.io/Logging_0880/klagomål/A 6933-2023 FSC-klagomål.docx", "A 6933-2023")</f>
        <v/>
      </c>
      <c r="AB24">
        <f>HYPERLINK("https://klasma.github.io/Logging_0880/klagomålsmail/A 6933-2023 FSC-klagomål mail.docx", "A 6933-2023")</f>
        <v/>
      </c>
      <c r="AC24">
        <f>HYPERLINK("https://klasma.github.io/Logging_0880/tillsyn/A 6933-2023 tillsynsbegäran.docx", "A 6933-2023")</f>
        <v/>
      </c>
      <c r="AD24">
        <f>HYPERLINK("https://klasma.github.io/Logging_0880/tillsynsmail/A 6933-2023 tillsynsbegäran mail.docx", "A 6933-2023")</f>
        <v/>
      </c>
    </row>
    <row r="25" ht="15" customHeight="1">
      <c r="A25" t="inlineStr">
        <is>
          <t>S 779-2023</t>
        </is>
      </c>
      <c r="B25" t="inlineStr">
        <is>
          <t>samrådsanmälan</t>
        </is>
      </c>
      <c r="C25" t="inlineStr">
        <is>
          <t>Askåterföring</t>
        </is>
      </c>
      <c r="D25" s="1" t="n">
        <v>44984</v>
      </c>
      <c r="E25" s="1" t="n">
        <v>46272</v>
      </c>
      <c r="F25" t="inlineStr">
        <is>
          <t>KALMAR LÄN</t>
        </is>
      </c>
      <c r="G25" t="inlineStr">
        <is>
          <t>KALMAR</t>
        </is>
      </c>
      <c r="I25" t="n">
        <v>20.9</v>
      </c>
      <c r="J25" t="n">
        <v>2</v>
      </c>
      <c r="K25" t="n">
        <v>0</v>
      </c>
      <c r="L25" t="n">
        <v>2</v>
      </c>
      <c r="M25" t="n">
        <v>2</v>
      </c>
      <c r="N25" t="n">
        <v>0</v>
      </c>
      <c r="O25" t="n">
        <v>0</v>
      </c>
      <c r="P25" t="n">
        <v>0</v>
      </c>
      <c r="Q25" t="n">
        <v>4</v>
      </c>
      <c r="R25" t="n">
        <v>2</v>
      </c>
      <c r="S25" t="n">
        <v>5</v>
      </c>
      <c r="T25" t="n">
        <v>10</v>
      </c>
      <c r="U25" t="n">
        <v>1</v>
      </c>
      <c r="V25" s="2" t="inlineStr">
        <is>
          <t>Mindre bastardsvärmare
Sandödla
Klubbsprötad bastardsvärmare
Slåtterfibbla
Röd glada</t>
        </is>
      </c>
      <c r="W25">
        <f>HYPERLINK("https://klasma.github.io/Logging_0880/artfynd/S 779-2023 artfynd.xlsx", "S 779-2023")</f>
        <v/>
      </c>
      <c r="X25">
        <f>HYPERLINK("https://klasma.github.io/Logging_0880/kartor/S 779-2023 karta.png", "S 779-2023")</f>
        <v/>
      </c>
      <c r="Y25">
        <f>HYPERLINK("https://klasma.github.io/Logging_0880/kartor_geotiff/S 779-2023 georefererad karta.tif", "S 779-2023")</f>
        <v/>
      </c>
      <c r="AA25">
        <f>HYPERLINK("https://klasma.github.io/Logging_0880/klagomål/S 779-2023 FSC-klagomål.docx", "S 779-2023")</f>
        <v/>
      </c>
      <c r="AB25">
        <f>HYPERLINK("https://klasma.github.io/Logging_0880/klagomålsmail/S 779-2023 FSC-klagomål mail.docx", "S 779-2023")</f>
        <v/>
      </c>
      <c r="AC25">
        <f>HYPERLINK("https://klasma.github.io/Logging_0880/tillsyn/S 779-2023 tillsynsbegäran.docx", "S 779-2023")</f>
        <v/>
      </c>
      <c r="AD25">
        <f>HYPERLINK("https://klasma.github.io/Logging_0880/tillsynsmail/S 779-2023 tillsynsbegäran mail.docx", "S 779-2023")</f>
        <v/>
      </c>
      <c r="AE25">
        <f>HYPERLINK("https://klasma.github.io/Logging_0880/fåglar/S 779-2023 prioriterade fågelarter.docx", "S 779-2023")</f>
        <v/>
      </c>
    </row>
    <row r="26" ht="15" customHeight="1">
      <c r="A26" t="inlineStr">
        <is>
          <t>S 2304-2024</t>
        </is>
      </c>
      <c r="B26" t="inlineStr">
        <is>
          <t>samrådsanmälan</t>
        </is>
      </c>
      <c r="C26" t="inlineStr">
        <is>
          <t>Annan skogsbruksåtgärd</t>
        </is>
      </c>
      <c r="D26" s="1" t="n">
        <v>45463</v>
      </c>
      <c r="E26" s="1" t="n">
        <v>46272</v>
      </c>
      <c r="F26" t="inlineStr">
        <is>
          <t>KALMAR LÄN</t>
        </is>
      </c>
      <c r="G26" t="inlineStr">
        <is>
          <t>KALMAR</t>
        </is>
      </c>
      <c r="I26" t="n">
        <v>7.7</v>
      </c>
      <c r="J26" t="n">
        <v>2</v>
      </c>
      <c r="K26" t="n">
        <v>2</v>
      </c>
      <c r="L26" t="n">
        <v>2</v>
      </c>
      <c r="M26" t="n">
        <v>1</v>
      </c>
      <c r="N26" t="n">
        <v>0</v>
      </c>
      <c r="O26" t="n">
        <v>0</v>
      </c>
      <c r="P26" t="n">
        <v>0</v>
      </c>
      <c r="Q26" t="n">
        <v>3</v>
      </c>
      <c r="R26" t="n">
        <v>1</v>
      </c>
      <c r="S26" t="n">
        <v>5</v>
      </c>
      <c r="T26" t="n">
        <v>12</v>
      </c>
      <c r="U26" t="n">
        <v>0</v>
      </c>
      <c r="V26" s="2" t="inlineStr">
        <is>
          <t>Knärot
Talltita
Ullticka
Blomkålssvamp
Grönpyrola</t>
        </is>
      </c>
      <c r="W26">
        <f>HYPERLINK("https://klasma.github.io/Logging_0880/artfynd/S 2304-2024 artfynd.xlsx", "S 2304-2024")</f>
        <v/>
      </c>
      <c r="X26">
        <f>HYPERLINK("https://klasma.github.io/Logging_0880/kartor/S 2304-2024 karta.png", "S 2304-2024")</f>
        <v/>
      </c>
      <c r="Y26">
        <f>HYPERLINK("https://klasma.github.io/Logging_0880/kartor_geotiff/S 2304-2024 georefererad karta.tif", "S 2304-2024")</f>
        <v/>
      </c>
      <c r="Z26">
        <f>HYPERLINK("https://klasma.github.io/Logging_0880/knärot/S 2304-2024 karta knärot.png", "S 2304-2024")</f>
        <v/>
      </c>
      <c r="AA26">
        <f>HYPERLINK("https://klasma.github.io/Logging_0880/klagomål/S 2304-2024 FSC-klagomål.docx", "S 2304-2024")</f>
        <v/>
      </c>
      <c r="AB26">
        <f>HYPERLINK("https://klasma.github.io/Logging_0880/klagomålsmail/S 2304-2024 FSC-klagomål mail.docx", "S 2304-2024")</f>
        <v/>
      </c>
      <c r="AC26">
        <f>HYPERLINK("https://klasma.github.io/Logging_0880/tillsyn/S 2304-2024 tillsynsbegäran.docx", "S 2304-2024")</f>
        <v/>
      </c>
      <c r="AD26">
        <f>HYPERLINK("https://klasma.github.io/Logging_0880/tillsynsmail/S 2304-2024 tillsynsbegäran mail.docx", "S 2304-2024")</f>
        <v/>
      </c>
      <c r="AE26">
        <f>HYPERLINK("https://klasma.github.io/Logging_0880/fåglar/S 2304-2024 prioriterade fågelarter.docx", "S 2304-2024")</f>
        <v/>
      </c>
    </row>
    <row r="27" ht="15" customHeight="1">
      <c r="A27" t="inlineStr">
        <is>
          <t>S 562-2023</t>
        </is>
      </c>
      <c r="B27" t="inlineStr">
        <is>
          <t>samrådsanmälan</t>
        </is>
      </c>
      <c r="C27" t="inlineStr">
        <is>
          <t>Askåterföring</t>
        </is>
      </c>
      <c r="D27" s="1" t="n">
        <v>44970</v>
      </c>
      <c r="E27" s="1" t="n">
        <v>46272</v>
      </c>
      <c r="F27" t="inlineStr">
        <is>
          <t>KALMAR LÄN</t>
        </is>
      </c>
      <c r="G27" t="inlineStr">
        <is>
          <t>KALMAR</t>
        </is>
      </c>
      <c r="H27" t="inlineStr">
        <is>
          <t>Kommuner</t>
        </is>
      </c>
      <c r="I27" t="n">
        <v>37.6</v>
      </c>
      <c r="J27" t="n">
        <v>2</v>
      </c>
      <c r="K27" t="n">
        <v>1</v>
      </c>
      <c r="L27" t="n">
        <v>3</v>
      </c>
      <c r="M27" t="n">
        <v>1</v>
      </c>
      <c r="N27" t="n">
        <v>0</v>
      </c>
      <c r="O27" t="n">
        <v>0</v>
      </c>
      <c r="P27" t="n">
        <v>0</v>
      </c>
      <c r="Q27" t="n">
        <v>4</v>
      </c>
      <c r="R27" t="n">
        <v>1</v>
      </c>
      <c r="S27" t="n">
        <v>5</v>
      </c>
      <c r="T27" t="n">
        <v>6</v>
      </c>
      <c r="U27" t="n">
        <v>4</v>
      </c>
      <c r="V27" s="2" t="inlineStr">
        <is>
          <t>Sandödla
Borsttåg
Gullklöver
Talltita
Gulvaxing</t>
        </is>
      </c>
      <c r="W27">
        <f>HYPERLINK("https://klasma.github.io/Logging_0880/artfynd/S 562-2023 artfynd.xlsx", "S 562-2023")</f>
        <v/>
      </c>
      <c r="X27">
        <f>HYPERLINK("https://klasma.github.io/Logging_0880/kartor/S 562-2023 karta.png", "S 562-2023")</f>
        <v/>
      </c>
      <c r="Y27">
        <f>HYPERLINK("https://klasma.github.io/Logging_0880/kartor_geotiff/S 562-2023 georefererad karta.tif", "S 562-2023")</f>
        <v/>
      </c>
      <c r="AA27">
        <f>HYPERLINK("https://klasma.github.io/Logging_0880/klagomål/S 562-2023 FSC-klagomål.docx", "S 562-2023")</f>
        <v/>
      </c>
      <c r="AB27">
        <f>HYPERLINK("https://klasma.github.io/Logging_0880/klagomålsmail/S 562-2023 FSC-klagomål mail.docx", "S 562-2023")</f>
        <v/>
      </c>
      <c r="AC27">
        <f>HYPERLINK("https://klasma.github.io/Logging_0880/tillsyn/S 562-2023 tillsynsbegäran.docx", "S 562-2023")</f>
        <v/>
      </c>
      <c r="AD27">
        <f>HYPERLINK("https://klasma.github.io/Logging_0880/tillsynsmail/S 562-2023 tillsynsbegäran mail.docx", "S 562-2023")</f>
        <v/>
      </c>
      <c r="AE27">
        <f>HYPERLINK("https://klasma.github.io/Logging_0880/fåglar/S 562-2023 prioriterade fågelarter.docx", "S 562-2023")</f>
        <v/>
      </c>
    </row>
    <row r="28" ht="15" customHeight="1">
      <c r="A28" t="inlineStr">
        <is>
          <t>S 2965-2025</t>
        </is>
      </c>
      <c r="B28" t="inlineStr">
        <is>
          <t>samrådsanmälan</t>
        </is>
      </c>
      <c r="C28" t="inlineStr">
        <is>
          <t>Annan skogsbruksåtgärd</t>
        </is>
      </c>
      <c r="D28" s="1" t="n">
        <v>45953</v>
      </c>
      <c r="E28" s="1" t="n">
        <v>46272</v>
      </c>
      <c r="F28" t="inlineStr">
        <is>
          <t>KALMAR LÄN</t>
        </is>
      </c>
      <c r="G28" t="inlineStr">
        <is>
          <t>KALMAR</t>
        </is>
      </c>
      <c r="I28" t="n">
        <v>4.5</v>
      </c>
      <c r="J28" t="n">
        <v>0</v>
      </c>
      <c r="K28" t="n">
        <v>4</v>
      </c>
      <c r="L28" t="n">
        <v>1</v>
      </c>
      <c r="M28" t="n">
        <v>0</v>
      </c>
      <c r="N28" t="n">
        <v>0</v>
      </c>
      <c r="O28" t="n">
        <v>0</v>
      </c>
      <c r="P28" t="n">
        <v>0</v>
      </c>
      <c r="Q28" t="n">
        <v>1</v>
      </c>
      <c r="R28" t="n">
        <v>0</v>
      </c>
      <c r="S28" t="n">
        <v>5</v>
      </c>
      <c r="T28" t="n">
        <v>6</v>
      </c>
      <c r="U28" t="n">
        <v>0</v>
      </c>
      <c r="V28" s="2" t="inlineStr">
        <is>
          <t>Gammelekslav
Grå skärelav
Gulnål
Rostfläck
Sotlav</t>
        </is>
      </c>
      <c r="W28">
        <f>HYPERLINK("https://klasma.github.io/Logging_0880/artfynd/S 2965-2025 artfynd.xlsx", "S 2965-2025")</f>
        <v/>
      </c>
      <c r="X28">
        <f>HYPERLINK("https://klasma.github.io/Logging_0880/kartor/S 2965-2025 karta.png", "S 2965-2025")</f>
        <v/>
      </c>
      <c r="Y28">
        <f>HYPERLINK("https://klasma.github.io/Logging_0880/kartor_geotiff/S 2965-2025 georefererad karta.tif", "S 2965-2025")</f>
        <v/>
      </c>
      <c r="AA28">
        <f>HYPERLINK("https://klasma.github.io/Logging_0880/klagomål/S 2965-2025 FSC-klagomål.docx", "S 2965-2025")</f>
        <v/>
      </c>
      <c r="AB28">
        <f>HYPERLINK("https://klasma.github.io/Logging_0880/klagomålsmail/S 2965-2025 FSC-klagomål mail.docx", "S 2965-2025")</f>
        <v/>
      </c>
      <c r="AC28">
        <f>HYPERLINK("https://klasma.github.io/Logging_0880/tillsyn/S 2965-2025 tillsynsbegäran.docx", "S 2965-2025")</f>
        <v/>
      </c>
      <c r="AD28">
        <f>HYPERLINK("https://klasma.github.io/Logging_0880/tillsynsmail/S 2965-2025 tillsynsbegäran mail.docx", "S 2965-2025")</f>
        <v/>
      </c>
    </row>
    <row r="29" ht="15" customHeight="1">
      <c r="A29" t="inlineStr">
        <is>
          <t>A 11409-2023</t>
        </is>
      </c>
      <c r="B29" t="inlineStr">
        <is>
          <t>avverkningsanmälan</t>
        </is>
      </c>
      <c r="C29" t="inlineStr">
        <is>
          <t>Föryngringsavverkning</t>
        </is>
      </c>
      <c r="D29" s="1" t="n">
        <v>44993</v>
      </c>
      <c r="E29" s="1" t="n">
        <v>46272</v>
      </c>
      <c r="F29" t="inlineStr">
        <is>
          <t>KALMAR LÄN</t>
        </is>
      </c>
      <c r="G29" t="inlineStr">
        <is>
          <t>KALMAR</t>
        </is>
      </c>
      <c r="I29" t="n">
        <v>7.6</v>
      </c>
      <c r="J29" t="n">
        <v>2</v>
      </c>
      <c r="K29" t="n">
        <v>1</v>
      </c>
      <c r="L29" t="n">
        <v>2</v>
      </c>
      <c r="M29" t="n">
        <v>1</v>
      </c>
      <c r="N29" t="n">
        <v>0</v>
      </c>
      <c r="O29" t="n">
        <v>0</v>
      </c>
      <c r="P29" t="n">
        <v>0</v>
      </c>
      <c r="Q29" t="n">
        <v>3</v>
      </c>
      <c r="R29" t="n">
        <v>1</v>
      </c>
      <c r="S29" t="n">
        <v>4</v>
      </c>
      <c r="T29" t="n">
        <v>4</v>
      </c>
      <c r="U29" t="n">
        <v>2</v>
      </c>
      <c r="V29" s="2" t="inlineStr">
        <is>
          <t>Gullvivefjäril
Gullklöver
Nordfladdermus
Ekoxe</t>
        </is>
      </c>
      <c r="W29">
        <f>HYPERLINK("https://klasma.github.io/Logging_0880/artfynd/A 11409-2023 artfynd.xlsx", "A 11409-2023")</f>
        <v/>
      </c>
      <c r="X29">
        <f>HYPERLINK("https://klasma.github.io/Logging_0880/kartor/A 11409-2023 karta.png", "A 11409-2023")</f>
        <v/>
      </c>
      <c r="Y29">
        <f>HYPERLINK("https://klasma.github.io/Logging_0880/kartor_geotiff/A 11409-2023 georefererad karta.tif", "A 11409-2023")</f>
        <v/>
      </c>
      <c r="AA29">
        <f>HYPERLINK("https://klasma.github.io/Logging_0880/klagomål/A 11409-2023 FSC-klagomål.docx", "A 11409-2023")</f>
        <v/>
      </c>
      <c r="AB29">
        <f>HYPERLINK("https://klasma.github.io/Logging_0880/klagomålsmail/A 11409-2023 FSC-klagomål mail.docx", "A 11409-2023")</f>
        <v/>
      </c>
      <c r="AC29">
        <f>HYPERLINK("https://klasma.github.io/Logging_0880/tillsyn/A 11409-2023 tillsynsbegäran.docx", "A 11409-2023")</f>
        <v/>
      </c>
      <c r="AD29">
        <f>HYPERLINK("https://klasma.github.io/Logging_0880/tillsynsmail/A 11409-2023 tillsynsbegäran mail.docx", "A 11409-2023")</f>
        <v/>
      </c>
    </row>
    <row r="30" ht="15" customHeight="1">
      <c r="A30" t="inlineStr">
        <is>
          <t>A 47451-2022</t>
        </is>
      </c>
      <c r="B30" t="inlineStr">
        <is>
          <t>avverkningsanmälan</t>
        </is>
      </c>
      <c r="C30" t="inlineStr">
        <is>
          <t>Föryngringsavverkning</t>
        </is>
      </c>
      <c r="D30" s="1" t="n">
        <v>44853</v>
      </c>
      <c r="E30" s="1" t="n">
        <v>46272</v>
      </c>
      <c r="F30" t="inlineStr">
        <is>
          <t>KALMAR LÄN</t>
        </is>
      </c>
      <c r="G30" t="inlineStr">
        <is>
          <t>KALMAR</t>
        </is>
      </c>
      <c r="I30" t="n">
        <v>3.8</v>
      </c>
      <c r="J30" t="n">
        <v>1</v>
      </c>
      <c r="K30" t="n">
        <v>3</v>
      </c>
      <c r="L30" t="n">
        <v>0</v>
      </c>
      <c r="M30" t="n">
        <v>1</v>
      </c>
      <c r="N30" t="n">
        <v>0</v>
      </c>
      <c r="O30" t="n">
        <v>0</v>
      </c>
      <c r="P30" t="n">
        <v>0</v>
      </c>
      <c r="Q30" t="n">
        <v>1</v>
      </c>
      <c r="R30" t="n">
        <v>1</v>
      </c>
      <c r="S30" t="n">
        <v>4</v>
      </c>
      <c r="T30" t="n">
        <v>6</v>
      </c>
      <c r="U30" t="n">
        <v>0</v>
      </c>
      <c r="V30" s="2" t="inlineStr">
        <is>
          <t>Knärot
Grönpyrola
Murgröna
Västlig hakmossa</t>
        </is>
      </c>
      <c r="W30">
        <f>HYPERLINK("https://klasma.github.io/Logging_0880/artfynd/A 47451-2022 artfynd.xlsx", "A 47451-2022")</f>
        <v/>
      </c>
      <c r="X30">
        <f>HYPERLINK("https://klasma.github.io/Logging_0880/kartor/A 47451-2022 karta.png", "A 47451-2022")</f>
        <v/>
      </c>
      <c r="Y30">
        <f>HYPERLINK("https://klasma.github.io/Logging_0880/kartor_geotiff/A 47451-2022 georefererad karta.tif", "A 47451-2022")</f>
        <v/>
      </c>
      <c r="Z30">
        <f>HYPERLINK("https://klasma.github.io/Logging_0880/knärot/A 47451-2022 karta knärot.png", "A 47451-2022")</f>
        <v/>
      </c>
      <c r="AA30">
        <f>HYPERLINK("https://klasma.github.io/Logging_0880/klagomål/A 47451-2022 FSC-klagomål.docx", "A 47451-2022")</f>
        <v/>
      </c>
      <c r="AB30">
        <f>HYPERLINK("https://klasma.github.io/Logging_0880/klagomålsmail/A 47451-2022 FSC-klagomål mail.docx", "A 47451-2022")</f>
        <v/>
      </c>
      <c r="AC30">
        <f>HYPERLINK("https://klasma.github.io/Logging_0880/tillsyn/A 47451-2022 tillsynsbegäran.docx", "A 47451-2022")</f>
        <v/>
      </c>
      <c r="AD30">
        <f>HYPERLINK("https://klasma.github.io/Logging_0880/tillsynsmail/A 47451-2022 tillsynsbegäran mail.docx", "A 47451-2022")</f>
        <v/>
      </c>
    </row>
    <row r="31" ht="15" customHeight="1">
      <c r="A31" t="inlineStr">
        <is>
          <t>A 9055-2023</t>
        </is>
      </c>
      <c r="B31" t="inlineStr">
        <is>
          <t>avverkningsanmälan</t>
        </is>
      </c>
      <c r="C31" t="inlineStr">
        <is>
          <t>Föryngringsavverkning</t>
        </is>
      </c>
      <c r="D31" s="1" t="n">
        <v>44979</v>
      </c>
      <c r="E31" s="1" t="n">
        <v>46272</v>
      </c>
      <c r="F31" t="inlineStr">
        <is>
          <t>KALMAR LÄN</t>
        </is>
      </c>
      <c r="G31" t="inlineStr">
        <is>
          <t>KALMAR</t>
        </is>
      </c>
      <c r="I31" t="n">
        <v>3</v>
      </c>
      <c r="J31" t="n">
        <v>4</v>
      </c>
      <c r="K31" t="n">
        <v>0</v>
      </c>
      <c r="L31" t="n">
        <v>1</v>
      </c>
      <c r="M31" t="n">
        <v>0</v>
      </c>
      <c r="N31" t="n">
        <v>0</v>
      </c>
      <c r="O31" t="n">
        <v>0</v>
      </c>
      <c r="P31" t="n">
        <v>0</v>
      </c>
      <c r="Q31" t="n">
        <v>1</v>
      </c>
      <c r="R31" t="n">
        <v>0</v>
      </c>
      <c r="S31" t="n">
        <v>4</v>
      </c>
      <c r="T31" t="n">
        <v>4</v>
      </c>
      <c r="U31" t="n">
        <v>0</v>
      </c>
      <c r="V31" s="2" t="inlineStr">
        <is>
          <t>Nordfladdermus
Dvärgpipistrell
Större brunfladdermus
Vattenfladdermus</t>
        </is>
      </c>
      <c r="W31">
        <f>HYPERLINK("https://klasma.github.io/Logging_0880/artfynd/A 9055-2023 artfynd.xlsx", "A 9055-2023")</f>
        <v/>
      </c>
      <c r="X31">
        <f>HYPERLINK("https://klasma.github.io/Logging_0880/kartor/A 9055-2023 karta.png", "A 9055-2023")</f>
        <v/>
      </c>
      <c r="Y31">
        <f>HYPERLINK("https://klasma.github.io/Logging_0880/kartor_geotiff/A 9055-2023 georefererad karta.tif", "A 9055-2023")</f>
        <v/>
      </c>
      <c r="AA31">
        <f>HYPERLINK("https://klasma.github.io/Logging_0880/klagomål/A 9055-2023 FSC-klagomål.docx", "A 9055-2023")</f>
        <v/>
      </c>
      <c r="AB31">
        <f>HYPERLINK("https://klasma.github.io/Logging_0880/klagomålsmail/A 9055-2023 FSC-klagomål mail.docx", "A 9055-2023")</f>
        <v/>
      </c>
      <c r="AC31">
        <f>HYPERLINK("https://klasma.github.io/Logging_0880/tillsyn/A 9055-2023 tillsynsbegäran.docx", "A 9055-2023")</f>
        <v/>
      </c>
      <c r="AD31">
        <f>HYPERLINK("https://klasma.github.io/Logging_0880/tillsynsmail/A 9055-2023 tillsynsbegäran mail.docx", "A 9055-2023")</f>
        <v/>
      </c>
    </row>
    <row r="32" ht="15" customHeight="1">
      <c r="A32" t="inlineStr">
        <is>
          <t>A 59457-2023</t>
        </is>
      </c>
      <c r="B32" t="inlineStr">
        <is>
          <t>avverkningsanmälan</t>
        </is>
      </c>
      <c r="C32" t="inlineStr">
        <is>
          <t>Föryngringsavverkning</t>
        </is>
      </c>
      <c r="D32" s="1" t="n">
        <v>45254</v>
      </c>
      <c r="E32" s="1" t="n">
        <v>46272</v>
      </c>
      <c r="F32" t="inlineStr">
        <is>
          <t>KALMAR LÄN</t>
        </is>
      </c>
      <c r="G32" t="inlineStr">
        <is>
          <t>KALMAR</t>
        </is>
      </c>
      <c r="I32" t="n">
        <v>3.3</v>
      </c>
      <c r="J32" t="n">
        <v>1</v>
      </c>
      <c r="K32" t="n">
        <v>0</v>
      </c>
      <c r="L32" t="n">
        <v>3</v>
      </c>
      <c r="M32" t="n">
        <v>0</v>
      </c>
      <c r="N32" t="n">
        <v>0</v>
      </c>
      <c r="O32" t="n">
        <v>0</v>
      </c>
      <c r="P32" t="n">
        <v>0</v>
      </c>
      <c r="Q32" t="n">
        <v>3</v>
      </c>
      <c r="R32" t="n">
        <v>0</v>
      </c>
      <c r="S32" t="n">
        <v>4</v>
      </c>
      <c r="T32" t="n">
        <v>4</v>
      </c>
      <c r="U32" t="n">
        <v>4</v>
      </c>
      <c r="V32" s="2" t="inlineStr">
        <is>
          <t>Jungfrulin
Solvända
Vårstarr
Nattviol</t>
        </is>
      </c>
      <c r="W32">
        <f>HYPERLINK("https://klasma.github.io/Logging_0880/artfynd/A 59457-2023 artfynd.xlsx", "A 59457-2023")</f>
        <v/>
      </c>
      <c r="X32">
        <f>HYPERLINK("https://klasma.github.io/Logging_0880/kartor/A 59457-2023 karta.png", "A 59457-2023")</f>
        <v/>
      </c>
      <c r="Y32">
        <f>HYPERLINK("https://klasma.github.io/Logging_0880/kartor_geotiff/A 59457-2023 georefererad karta.tif", "A 59457-2023")</f>
        <v/>
      </c>
      <c r="AA32">
        <f>HYPERLINK("https://klasma.github.io/Logging_0880/klagomål/A 59457-2023 FSC-klagomål.docx", "A 59457-2023")</f>
        <v/>
      </c>
      <c r="AB32">
        <f>HYPERLINK("https://klasma.github.io/Logging_0880/klagomålsmail/A 59457-2023 FSC-klagomål mail.docx", "A 59457-2023")</f>
        <v/>
      </c>
      <c r="AC32">
        <f>HYPERLINK("https://klasma.github.io/Logging_0880/tillsyn/A 59457-2023 tillsynsbegäran.docx", "A 59457-2023")</f>
        <v/>
      </c>
      <c r="AD32">
        <f>HYPERLINK("https://klasma.github.io/Logging_0880/tillsynsmail/A 59457-2023 tillsynsbegäran mail.docx", "A 59457-2023")</f>
        <v/>
      </c>
    </row>
    <row r="33" ht="15" customHeight="1">
      <c r="A33" t="inlineStr">
        <is>
          <t>A 58919-2021</t>
        </is>
      </c>
      <c r="B33" t="inlineStr">
        <is>
          <t>avverkningsanmälan</t>
        </is>
      </c>
      <c r="C33" t="inlineStr">
        <is>
          <t>Föryngringsavverkning</t>
        </is>
      </c>
      <c r="D33" s="1" t="n">
        <v>44489</v>
      </c>
      <c r="E33" s="1" t="n">
        <v>46272</v>
      </c>
      <c r="F33" t="inlineStr">
        <is>
          <t>KALMAR LÄN</t>
        </is>
      </c>
      <c r="G33" t="inlineStr">
        <is>
          <t>KALMAR</t>
        </is>
      </c>
      <c r="I33" t="n">
        <v>7</v>
      </c>
      <c r="J33" t="n">
        <v>2</v>
      </c>
      <c r="K33" t="n">
        <v>1</v>
      </c>
      <c r="L33" t="n">
        <v>0</v>
      </c>
      <c r="M33" t="n">
        <v>2</v>
      </c>
      <c r="N33" t="n">
        <v>1</v>
      </c>
      <c r="O33" t="n">
        <v>0</v>
      </c>
      <c r="P33" t="n">
        <v>0</v>
      </c>
      <c r="Q33" t="n">
        <v>3</v>
      </c>
      <c r="R33" t="n">
        <v>3</v>
      </c>
      <c r="S33" t="n">
        <v>4</v>
      </c>
      <c r="T33" t="n">
        <v>24</v>
      </c>
      <c r="U33" t="n">
        <v>24</v>
      </c>
      <c r="V33" s="2" t="inlineStr">
        <is>
          <t>Tallharticka
Knärot
Sandödla
Blomkålssvamp</t>
        </is>
      </c>
      <c r="W33">
        <f>HYPERLINK("https://klasma.github.io/Logging_0880/artfynd/A 58919-2021 artfynd.xlsx", "A 58919-2021")</f>
        <v/>
      </c>
      <c r="X33">
        <f>HYPERLINK("https://klasma.github.io/Logging_0880/kartor/A 58919-2021 karta.png", "A 58919-2021")</f>
        <v/>
      </c>
      <c r="Y33">
        <f>HYPERLINK("https://klasma.github.io/Logging_0880/kartor_geotiff/A 58919-2021 georefererad karta.tif", "A 58919-2021")</f>
        <v/>
      </c>
      <c r="Z33">
        <f>HYPERLINK("https://klasma.github.io/Logging_0880/knärot/A 58919-2021 karta knärot.png", "A 58919-2021")</f>
        <v/>
      </c>
      <c r="AA33">
        <f>HYPERLINK("https://klasma.github.io/Logging_0880/klagomål/A 58919-2021 FSC-klagomål.docx", "A 58919-2021")</f>
        <v/>
      </c>
      <c r="AB33">
        <f>HYPERLINK("https://klasma.github.io/Logging_0880/klagomålsmail/A 58919-2021 FSC-klagomål mail.docx", "A 58919-2021")</f>
        <v/>
      </c>
      <c r="AC33">
        <f>HYPERLINK("https://klasma.github.io/Logging_0880/tillsyn/A 58919-2021 tillsynsbegäran.docx", "A 58919-2021")</f>
        <v/>
      </c>
      <c r="AD33">
        <f>HYPERLINK("https://klasma.github.io/Logging_0880/tillsynsmail/A 58919-2021 tillsynsbegäran mail.docx", "A 58919-2021")</f>
        <v/>
      </c>
    </row>
    <row r="34" ht="15" customHeight="1">
      <c r="A34" t="inlineStr">
        <is>
          <t>A 3916-2025</t>
        </is>
      </c>
      <c r="B34" t="inlineStr">
        <is>
          <t>avverkningsanmälan</t>
        </is>
      </c>
      <c r="C34" t="inlineStr">
        <is>
          <t>Föryngringsavverkning</t>
        </is>
      </c>
      <c r="D34" s="1" t="n">
        <v>45684</v>
      </c>
      <c r="E34" s="1" t="n">
        <v>46272</v>
      </c>
      <c r="F34" t="inlineStr">
        <is>
          <t>KALMAR LÄN</t>
        </is>
      </c>
      <c r="G34" t="inlineStr">
        <is>
          <t>KALMAR</t>
        </is>
      </c>
      <c r="I34" t="n">
        <v>19.7</v>
      </c>
      <c r="J34" t="n">
        <v>4</v>
      </c>
      <c r="K34" t="n">
        <v>0</v>
      </c>
      <c r="L34" t="n">
        <v>2</v>
      </c>
      <c r="M34" t="n">
        <v>0</v>
      </c>
      <c r="N34" t="n">
        <v>0</v>
      </c>
      <c r="O34" t="n">
        <v>0</v>
      </c>
      <c r="P34" t="n">
        <v>0</v>
      </c>
      <c r="Q34" t="n">
        <v>2</v>
      </c>
      <c r="R34" t="n">
        <v>0</v>
      </c>
      <c r="S34" t="n">
        <v>4</v>
      </c>
      <c r="T34" t="n">
        <v>4</v>
      </c>
      <c r="U34" t="n">
        <v>0</v>
      </c>
      <c r="V34" s="2" t="inlineStr">
        <is>
          <t>Brunlångöra
Nordfladdermus
Dvärgpipistrell
Större brunfladdermus</t>
        </is>
      </c>
      <c r="W34">
        <f>HYPERLINK("https://klasma.github.io/Logging_0880/artfynd/A 3916-2025 artfynd.xlsx", "A 3916-2025")</f>
        <v/>
      </c>
      <c r="X34">
        <f>HYPERLINK("https://klasma.github.io/Logging_0880/kartor/A 3916-2025 karta.png", "A 3916-2025")</f>
        <v/>
      </c>
      <c r="Y34">
        <f>HYPERLINK("https://klasma.github.io/Logging_0880/kartor_geotiff/A 3916-2025 georefererad karta.tif", "A 3916-2025")</f>
        <v/>
      </c>
      <c r="AA34">
        <f>HYPERLINK("https://klasma.github.io/Logging_0880/klagomål/A 3916-2025 FSC-klagomål.docx", "A 3916-2025")</f>
        <v/>
      </c>
      <c r="AB34">
        <f>HYPERLINK("https://klasma.github.io/Logging_0880/klagomålsmail/A 3916-2025 FSC-klagomål mail.docx", "A 3916-2025")</f>
        <v/>
      </c>
      <c r="AC34">
        <f>HYPERLINK("https://klasma.github.io/Logging_0880/tillsyn/A 3916-2025 tillsynsbegäran.docx", "A 3916-2025")</f>
        <v/>
      </c>
      <c r="AD34">
        <f>HYPERLINK("https://klasma.github.io/Logging_0880/tillsynsmail/A 3916-2025 tillsynsbegäran mail.docx", "A 3916-2025")</f>
        <v/>
      </c>
    </row>
    <row r="35" ht="15" customHeight="1">
      <c r="A35" t="inlineStr">
        <is>
          <t>S 681-2022</t>
        </is>
      </c>
      <c r="B35" t="inlineStr">
        <is>
          <t>samrådsanmälan</t>
        </is>
      </c>
      <c r="C35" t="inlineStr">
        <is>
          <t>Askåterföring</t>
        </is>
      </c>
      <c r="D35" s="1" t="n">
        <v>44595</v>
      </c>
      <c r="E35" s="1" t="n">
        <v>46272</v>
      </c>
      <c r="F35" t="inlineStr">
        <is>
          <t>KALMAR LÄN</t>
        </is>
      </c>
      <c r="G35" t="inlineStr">
        <is>
          <t>KALMAR</t>
        </is>
      </c>
      <c r="I35" t="n">
        <v>11.8</v>
      </c>
      <c r="J35" t="n">
        <v>3</v>
      </c>
      <c r="K35" t="n">
        <v>0</v>
      </c>
      <c r="L35" t="n">
        <v>2</v>
      </c>
      <c r="M35" t="n">
        <v>0</v>
      </c>
      <c r="N35" t="n">
        <v>0</v>
      </c>
      <c r="O35" t="n">
        <v>0</v>
      </c>
      <c r="P35" t="n">
        <v>0</v>
      </c>
      <c r="Q35" t="n">
        <v>2</v>
      </c>
      <c r="R35" t="n">
        <v>0</v>
      </c>
      <c r="S35" t="n">
        <v>4</v>
      </c>
      <c r="T35" t="n">
        <v>4</v>
      </c>
      <c r="U35" t="n">
        <v>0</v>
      </c>
      <c r="V35" s="2" t="inlineStr">
        <is>
          <t>Motaggsvamp
Talltita
Spillkråka
Tjäder</t>
        </is>
      </c>
      <c r="W35">
        <f>HYPERLINK("https://klasma.github.io/Logging_0880/artfynd/S 681-2022 artfynd.xlsx", "S 681-2022")</f>
        <v/>
      </c>
      <c r="X35">
        <f>HYPERLINK("https://klasma.github.io/Logging_0880/kartor/S 681-2022 karta.png", "S 681-2022")</f>
        <v/>
      </c>
      <c r="Y35">
        <f>HYPERLINK("https://klasma.github.io/Logging_0880/kartor_geotiff/S 681-2022 georefererad karta.tif", "S 681-2022")</f>
        <v/>
      </c>
      <c r="AA35">
        <f>HYPERLINK("https://klasma.github.io/Logging_0880/klagomål/S 681-2022 FSC-klagomål.docx", "S 681-2022")</f>
        <v/>
      </c>
      <c r="AB35">
        <f>HYPERLINK("https://klasma.github.io/Logging_0880/klagomålsmail/S 681-2022 FSC-klagomål mail.docx", "S 681-2022")</f>
        <v/>
      </c>
      <c r="AC35">
        <f>HYPERLINK("https://klasma.github.io/Logging_0880/tillsyn/S 681-2022 tillsynsbegäran.docx", "S 681-2022")</f>
        <v/>
      </c>
      <c r="AD35">
        <f>HYPERLINK("https://klasma.github.io/Logging_0880/tillsynsmail/S 681-2022 tillsynsbegäran mail.docx", "S 681-2022")</f>
        <v/>
      </c>
      <c r="AE35">
        <f>HYPERLINK("https://klasma.github.io/Logging_0880/fåglar/S 681-2022 prioriterade fågelarter.docx", "S 681-2022")</f>
        <v/>
      </c>
    </row>
    <row r="36" ht="15" customHeight="1">
      <c r="A36" t="inlineStr">
        <is>
          <t>A 55531-2021</t>
        </is>
      </c>
      <c r="B36" t="inlineStr">
        <is>
          <t>avverkningsanmälan</t>
        </is>
      </c>
      <c r="C36" t="inlineStr">
        <is>
          <t>Föryngringsavverkning</t>
        </is>
      </c>
      <c r="D36" s="1" t="n">
        <v>44475</v>
      </c>
      <c r="E36" s="1" t="n">
        <v>46272</v>
      </c>
      <c r="F36" t="inlineStr">
        <is>
          <t>KALMAR LÄN</t>
        </is>
      </c>
      <c r="G36" t="inlineStr">
        <is>
          <t>KALMAR</t>
        </is>
      </c>
      <c r="H36" t="inlineStr">
        <is>
          <t>Kommuner</t>
        </is>
      </c>
      <c r="I36" t="n">
        <v>2.8</v>
      </c>
      <c r="J36" t="n">
        <v>2</v>
      </c>
      <c r="K36" t="n">
        <v>0</v>
      </c>
      <c r="L36" t="n">
        <v>0</v>
      </c>
      <c r="M36" t="n">
        <v>1</v>
      </c>
      <c r="N36" t="n">
        <v>0</v>
      </c>
      <c r="O36" t="n">
        <v>0</v>
      </c>
      <c r="P36" t="n">
        <v>0</v>
      </c>
      <c r="Q36" t="n">
        <v>1</v>
      </c>
      <c r="R36" t="n">
        <v>1</v>
      </c>
      <c r="S36" t="n">
        <v>3</v>
      </c>
      <c r="T36" t="n">
        <v>3</v>
      </c>
      <c r="U36" t="n">
        <v>3</v>
      </c>
      <c r="V36" s="2" t="inlineStr">
        <is>
          <t>Bredbrämad bastardsvärmare
Spillkråka
Kungsfågel</t>
        </is>
      </c>
      <c r="W36">
        <f>HYPERLINK("https://klasma.github.io/Logging_0880/artfynd/A 55531-2021 artfynd.xlsx", "A 55531-2021")</f>
        <v/>
      </c>
      <c r="X36">
        <f>HYPERLINK("https://klasma.github.io/Logging_0880/kartor/A 55531-2021 karta.png", "A 55531-2021")</f>
        <v/>
      </c>
      <c r="Y36">
        <f>HYPERLINK("https://klasma.github.io/Logging_0880/kartor_geotiff/A 55531-2021 georefererad karta.tif", "A 55531-2021")</f>
        <v/>
      </c>
      <c r="AA36">
        <f>HYPERLINK("https://klasma.github.io/Logging_0880/klagomål/A 55531-2021 FSC-klagomål.docx", "A 55531-2021")</f>
        <v/>
      </c>
      <c r="AB36">
        <f>HYPERLINK("https://klasma.github.io/Logging_0880/klagomålsmail/A 55531-2021 FSC-klagomål mail.docx", "A 55531-2021")</f>
        <v/>
      </c>
      <c r="AC36">
        <f>HYPERLINK("https://klasma.github.io/Logging_0880/tillsyn/A 55531-2021 tillsynsbegäran.docx", "A 55531-2021")</f>
        <v/>
      </c>
      <c r="AD36">
        <f>HYPERLINK("https://klasma.github.io/Logging_0880/tillsynsmail/A 55531-2021 tillsynsbegäran mail.docx", "A 55531-2021")</f>
        <v/>
      </c>
      <c r="AE36">
        <f>HYPERLINK("https://klasma.github.io/Logging_0880/fåglar/A 55531-2021 prioriterade fågelarter.docx", "A 55531-2021")</f>
        <v/>
      </c>
    </row>
    <row r="37" ht="15" customHeight="1">
      <c r="A37" t="inlineStr">
        <is>
          <t>A 58927-2021</t>
        </is>
      </c>
      <c r="B37" t="inlineStr">
        <is>
          <t>avverkningsanmälan</t>
        </is>
      </c>
      <c r="C37" t="inlineStr">
        <is>
          <t>Föryngringsavverkning</t>
        </is>
      </c>
      <c r="D37" s="1" t="n">
        <v>44489</v>
      </c>
      <c r="E37" s="1" t="n">
        <v>46272</v>
      </c>
      <c r="F37" t="inlineStr">
        <is>
          <t>KALMAR LÄN</t>
        </is>
      </c>
      <c r="G37" t="inlineStr">
        <is>
          <t>KALMAR</t>
        </is>
      </c>
      <c r="I37" t="n">
        <v>3.6</v>
      </c>
      <c r="J37" t="n">
        <v>2</v>
      </c>
      <c r="K37" t="n">
        <v>0</v>
      </c>
      <c r="L37" t="n">
        <v>2</v>
      </c>
      <c r="M37" t="n">
        <v>0</v>
      </c>
      <c r="N37" t="n">
        <v>0</v>
      </c>
      <c r="O37" t="n">
        <v>0</v>
      </c>
      <c r="P37" t="n">
        <v>0</v>
      </c>
      <c r="Q37" t="n">
        <v>2</v>
      </c>
      <c r="R37" t="n">
        <v>0</v>
      </c>
      <c r="S37" t="n">
        <v>3</v>
      </c>
      <c r="T37" t="n">
        <v>3</v>
      </c>
      <c r="U37" t="n">
        <v>0</v>
      </c>
      <c r="V37" s="2" t="inlineStr">
        <is>
          <t>Svinrot
Talltita
Tjäder</t>
        </is>
      </c>
      <c r="W37">
        <f>HYPERLINK("https://klasma.github.io/Logging_0880/artfynd/A 58927-2021 artfynd.xlsx", "A 58927-2021")</f>
        <v/>
      </c>
      <c r="X37">
        <f>HYPERLINK("https://klasma.github.io/Logging_0880/kartor/A 58927-2021 karta.png", "A 58927-2021")</f>
        <v/>
      </c>
      <c r="Y37">
        <f>HYPERLINK("https://klasma.github.io/Logging_0880/kartor_geotiff/A 58927-2021 georefererad karta.tif", "A 58927-2021")</f>
        <v/>
      </c>
      <c r="AA37">
        <f>HYPERLINK("https://klasma.github.io/Logging_0880/klagomål/A 58927-2021 FSC-klagomål.docx", "A 58927-2021")</f>
        <v/>
      </c>
      <c r="AB37">
        <f>HYPERLINK("https://klasma.github.io/Logging_0880/klagomålsmail/A 58927-2021 FSC-klagomål mail.docx", "A 58927-2021")</f>
        <v/>
      </c>
      <c r="AC37">
        <f>HYPERLINK("https://klasma.github.io/Logging_0880/tillsyn/A 58927-2021 tillsynsbegäran.docx", "A 58927-2021")</f>
        <v/>
      </c>
      <c r="AD37">
        <f>HYPERLINK("https://klasma.github.io/Logging_0880/tillsynsmail/A 58927-2021 tillsynsbegäran mail.docx", "A 58927-2021")</f>
        <v/>
      </c>
      <c r="AE37">
        <f>HYPERLINK("https://klasma.github.io/Logging_0880/fåglar/A 58927-2021 prioriterade fågelarter.docx", "A 58927-2021")</f>
        <v/>
      </c>
    </row>
    <row r="38" ht="15" customHeight="1">
      <c r="A38" t="inlineStr">
        <is>
          <t>A 32915-2022</t>
        </is>
      </c>
      <c r="B38" t="inlineStr">
        <is>
          <t>avverkningsanmälan</t>
        </is>
      </c>
      <c r="C38" t="inlineStr">
        <is>
          <t>Föryngringsavverkning</t>
        </is>
      </c>
      <c r="D38" s="1" t="n">
        <v>44784</v>
      </c>
      <c r="E38" s="1" t="n">
        <v>46272</v>
      </c>
      <c r="F38" t="inlineStr">
        <is>
          <t>KALMAR LÄN</t>
        </is>
      </c>
      <c r="G38" t="inlineStr">
        <is>
          <t>KALMAR</t>
        </is>
      </c>
      <c r="I38" t="n">
        <v>3.8</v>
      </c>
      <c r="J38" t="n">
        <v>1</v>
      </c>
      <c r="K38" t="n">
        <v>1</v>
      </c>
      <c r="L38" t="n">
        <v>1</v>
      </c>
      <c r="M38" t="n">
        <v>0</v>
      </c>
      <c r="N38" t="n">
        <v>0</v>
      </c>
      <c r="O38" t="n">
        <v>0</v>
      </c>
      <c r="P38" t="n">
        <v>0</v>
      </c>
      <c r="Q38" t="n">
        <v>1</v>
      </c>
      <c r="R38" t="n">
        <v>0</v>
      </c>
      <c r="S38" t="n">
        <v>3</v>
      </c>
      <c r="T38" t="n">
        <v>4</v>
      </c>
      <c r="U38" t="n">
        <v>4</v>
      </c>
      <c r="V38" s="2" t="inlineStr">
        <is>
          <t>Svinrot
Blåmossa
Blåsippa</t>
        </is>
      </c>
      <c r="W38">
        <f>HYPERLINK("https://klasma.github.io/Logging_0880/artfynd/A 32915-2022 artfynd.xlsx", "A 32915-2022")</f>
        <v/>
      </c>
      <c r="X38">
        <f>HYPERLINK("https://klasma.github.io/Logging_0880/kartor/A 32915-2022 karta.png", "A 32915-2022")</f>
        <v/>
      </c>
      <c r="Y38">
        <f>HYPERLINK("https://klasma.github.io/Logging_0880/kartor_geotiff/A 32915-2022 georefererad karta.tif", "A 32915-2022")</f>
        <v/>
      </c>
      <c r="AA38">
        <f>HYPERLINK("https://klasma.github.io/Logging_0880/klagomål/A 32915-2022 FSC-klagomål.docx", "A 32915-2022")</f>
        <v/>
      </c>
      <c r="AB38">
        <f>HYPERLINK("https://klasma.github.io/Logging_0880/klagomålsmail/A 32915-2022 FSC-klagomål mail.docx", "A 32915-2022")</f>
        <v/>
      </c>
      <c r="AC38">
        <f>HYPERLINK("https://klasma.github.io/Logging_0880/tillsyn/A 32915-2022 tillsynsbegäran.docx", "A 32915-2022")</f>
        <v/>
      </c>
      <c r="AD38">
        <f>HYPERLINK("https://klasma.github.io/Logging_0880/tillsynsmail/A 32915-2022 tillsynsbegäran mail.docx", "A 32915-2022")</f>
        <v/>
      </c>
    </row>
    <row r="39" ht="15" customHeight="1">
      <c r="A39" t="inlineStr">
        <is>
          <t>A 33043-2022</t>
        </is>
      </c>
      <c r="B39" t="inlineStr">
        <is>
          <t>avverkningsanmälan</t>
        </is>
      </c>
      <c r="C39" t="inlineStr">
        <is>
          <t>Föryngringsavverkning</t>
        </is>
      </c>
      <c r="D39" s="1" t="n">
        <v>44785</v>
      </c>
      <c r="E39" s="1" t="n">
        <v>46272</v>
      </c>
      <c r="F39" t="inlineStr">
        <is>
          <t>KALMAR LÄN</t>
        </is>
      </c>
      <c r="G39" t="inlineStr">
        <is>
          <t>KALMAR</t>
        </is>
      </c>
      <c r="H39" t="inlineStr">
        <is>
          <t>Kyrkan</t>
        </is>
      </c>
      <c r="I39" t="n">
        <v>1.6</v>
      </c>
      <c r="J39" t="n">
        <v>1</v>
      </c>
      <c r="K39" t="n">
        <v>1</v>
      </c>
      <c r="L39" t="n">
        <v>1</v>
      </c>
      <c r="M39" t="n">
        <v>1</v>
      </c>
      <c r="N39" t="n">
        <v>0</v>
      </c>
      <c r="O39" t="n">
        <v>0</v>
      </c>
      <c r="P39" t="n">
        <v>0</v>
      </c>
      <c r="Q39" t="n">
        <v>2</v>
      </c>
      <c r="R39" t="n">
        <v>1</v>
      </c>
      <c r="S39" t="n">
        <v>3</v>
      </c>
      <c r="T39" t="n">
        <v>14</v>
      </c>
      <c r="U39" t="n">
        <v>14</v>
      </c>
      <c r="V39" s="2" t="inlineStr">
        <is>
          <t>Knärot
Dropptaggsvamp
Murgröna</t>
        </is>
      </c>
      <c r="W39">
        <f>HYPERLINK("https://klasma.github.io/Logging_0880/artfynd/A 33043-2022 artfynd.xlsx", "A 33043-2022")</f>
        <v/>
      </c>
      <c r="X39">
        <f>HYPERLINK("https://klasma.github.io/Logging_0880/kartor/A 33043-2022 karta.png", "A 33043-2022")</f>
        <v/>
      </c>
      <c r="Y39">
        <f>HYPERLINK("https://klasma.github.io/Logging_0880/kartor_geotiff/A 33043-2022 georefererad karta.tif", "A 33043-2022")</f>
        <v/>
      </c>
      <c r="Z39">
        <f>HYPERLINK("https://klasma.github.io/Logging_0880/knärot/A 33043-2022 karta knärot.png", "A 33043-2022")</f>
        <v/>
      </c>
      <c r="AA39">
        <f>HYPERLINK("https://klasma.github.io/Logging_0880/klagomål/A 33043-2022 FSC-klagomål.docx", "A 33043-2022")</f>
        <v/>
      </c>
      <c r="AB39">
        <f>HYPERLINK("https://klasma.github.io/Logging_0880/klagomålsmail/A 33043-2022 FSC-klagomål mail.docx", "A 33043-2022")</f>
        <v/>
      </c>
      <c r="AC39">
        <f>HYPERLINK("https://klasma.github.io/Logging_0880/tillsyn/A 33043-2022 tillsynsbegäran.docx", "A 33043-2022")</f>
        <v/>
      </c>
      <c r="AD39">
        <f>HYPERLINK("https://klasma.github.io/Logging_0880/tillsynsmail/A 33043-2022 tillsynsbegäran mail.docx", "A 33043-2022")</f>
        <v/>
      </c>
    </row>
    <row r="40" ht="15" customHeight="1">
      <c r="A40" t="inlineStr">
        <is>
          <t>A 1933-2022</t>
        </is>
      </c>
      <c r="B40" t="inlineStr">
        <is>
          <t>avverkningsanmälan</t>
        </is>
      </c>
      <c r="C40" t="inlineStr">
        <is>
          <t>Föryngringsavverkning</t>
        </is>
      </c>
      <c r="D40" s="1" t="n">
        <v>44575</v>
      </c>
      <c r="E40" s="1" t="n">
        <v>46272</v>
      </c>
      <c r="F40" t="inlineStr">
        <is>
          <t>KALMAR LÄN</t>
        </is>
      </c>
      <c r="G40" t="inlineStr">
        <is>
          <t>KALMAR</t>
        </is>
      </c>
      <c r="I40" t="n">
        <v>3.3</v>
      </c>
      <c r="J40" t="n">
        <v>1</v>
      </c>
      <c r="K40" t="n">
        <v>2</v>
      </c>
      <c r="L40" t="n">
        <v>0</v>
      </c>
      <c r="M40" t="n">
        <v>1</v>
      </c>
      <c r="N40" t="n">
        <v>0</v>
      </c>
      <c r="O40" t="n">
        <v>0</v>
      </c>
      <c r="P40" t="n">
        <v>0</v>
      </c>
      <c r="Q40" t="n">
        <v>1</v>
      </c>
      <c r="R40" t="n">
        <v>1</v>
      </c>
      <c r="S40" t="n">
        <v>3</v>
      </c>
      <c r="T40" t="n">
        <v>8</v>
      </c>
      <c r="U40" t="n">
        <v>8</v>
      </c>
      <c r="V40" s="2" t="inlineStr">
        <is>
          <t>Knärot
Brandticka
Grovticka</t>
        </is>
      </c>
      <c r="W40">
        <f>HYPERLINK("https://klasma.github.io/Logging_0880/artfynd/A 1933-2022 artfynd.xlsx", "A 1933-2022")</f>
        <v/>
      </c>
      <c r="X40">
        <f>HYPERLINK("https://klasma.github.io/Logging_0880/kartor/A 1933-2022 karta.png", "A 1933-2022")</f>
        <v/>
      </c>
      <c r="Y40">
        <f>HYPERLINK("https://klasma.github.io/Logging_0880/kartor_geotiff/A 1933-2022 georefererad karta.tif", "A 1933-2022")</f>
        <v/>
      </c>
      <c r="Z40">
        <f>HYPERLINK("https://klasma.github.io/Logging_0880/knärot/A 1933-2022 karta knärot.png", "A 1933-2022")</f>
        <v/>
      </c>
      <c r="AA40">
        <f>HYPERLINK("https://klasma.github.io/Logging_0880/klagomål/A 1933-2022 FSC-klagomål.docx", "A 1933-2022")</f>
        <v/>
      </c>
      <c r="AB40">
        <f>HYPERLINK("https://klasma.github.io/Logging_0880/klagomålsmail/A 1933-2022 FSC-klagomål mail.docx", "A 1933-2022")</f>
        <v/>
      </c>
      <c r="AC40">
        <f>HYPERLINK("https://klasma.github.io/Logging_0880/tillsyn/A 1933-2022 tillsynsbegäran.docx", "A 1933-2022")</f>
        <v/>
      </c>
      <c r="AD40">
        <f>HYPERLINK("https://klasma.github.io/Logging_0880/tillsynsmail/A 1933-2022 tillsynsbegäran mail.docx", "A 1933-2022")</f>
        <v/>
      </c>
    </row>
    <row r="41" ht="15" customHeight="1">
      <c r="A41" t="inlineStr">
        <is>
          <t>A 50243-2025</t>
        </is>
      </c>
      <c r="B41" t="inlineStr">
        <is>
          <t>avverkningsanmälan</t>
        </is>
      </c>
      <c r="C41" t="inlineStr">
        <is>
          <t>Avverkning för annat ändamål</t>
        </is>
      </c>
      <c r="D41" s="1" t="n">
        <v>45943</v>
      </c>
      <c r="E41" s="1" t="n">
        <v>46272</v>
      </c>
      <c r="F41" t="inlineStr">
        <is>
          <t>KALMAR LÄN</t>
        </is>
      </c>
      <c r="G41" t="inlineStr">
        <is>
          <t>KALMAR</t>
        </is>
      </c>
      <c r="I41" t="n">
        <v>0.8</v>
      </c>
      <c r="J41" t="n">
        <v>2</v>
      </c>
      <c r="K41" t="n">
        <v>1</v>
      </c>
      <c r="L41" t="n">
        <v>0</v>
      </c>
      <c r="M41" t="n">
        <v>1</v>
      </c>
      <c r="N41" t="n">
        <v>0</v>
      </c>
      <c r="O41" t="n">
        <v>0</v>
      </c>
      <c r="P41" t="n">
        <v>0</v>
      </c>
      <c r="Q41" t="n">
        <v>1</v>
      </c>
      <c r="R41" t="n">
        <v>1</v>
      </c>
      <c r="S41" t="n">
        <v>3</v>
      </c>
      <c r="T41" t="n">
        <v>3</v>
      </c>
      <c r="U41" t="n">
        <v>3</v>
      </c>
      <c r="V41" s="2" t="inlineStr">
        <is>
          <t>Knärot
Blåmossa
Spillkråka</t>
        </is>
      </c>
      <c r="W41">
        <f>HYPERLINK("https://klasma.github.io/Logging_0880/artfynd/A 50243-2025 artfynd.xlsx", "A 50243-2025")</f>
        <v/>
      </c>
      <c r="X41">
        <f>HYPERLINK("https://klasma.github.io/Logging_0880/kartor/A 50243-2025 karta.png", "A 50243-2025")</f>
        <v/>
      </c>
      <c r="Y41">
        <f>HYPERLINK("https://klasma.github.io/Logging_0880/kartor_geotiff/A 50243-2025 georefererad karta.tif", "A 50243-2025")</f>
        <v/>
      </c>
      <c r="Z41">
        <f>HYPERLINK("https://klasma.github.io/Logging_0880/knärot/A 50243-2025 karta knärot.png", "A 50243-2025")</f>
        <v/>
      </c>
      <c r="AA41">
        <f>HYPERLINK("https://klasma.github.io/Logging_0880/klagomål/A 50243-2025 FSC-klagomål.docx", "A 50243-2025")</f>
        <v/>
      </c>
      <c r="AB41">
        <f>HYPERLINK("https://klasma.github.io/Logging_0880/klagomålsmail/A 50243-2025 FSC-klagomål mail.docx", "A 50243-2025")</f>
        <v/>
      </c>
      <c r="AC41">
        <f>HYPERLINK("https://klasma.github.io/Logging_0880/tillsyn/A 50243-2025 tillsynsbegäran.docx", "A 50243-2025")</f>
        <v/>
      </c>
      <c r="AD41">
        <f>HYPERLINK("https://klasma.github.io/Logging_0880/tillsynsmail/A 50243-2025 tillsynsbegäran mail.docx", "A 50243-2025")</f>
        <v/>
      </c>
      <c r="AE41">
        <f>HYPERLINK("https://klasma.github.io/Logging_0880/fåglar/A 50243-2025 prioriterade fågelarter.docx", "A 50243-2025")</f>
        <v/>
      </c>
    </row>
    <row r="42" ht="15" customHeight="1">
      <c r="A42" t="inlineStr">
        <is>
          <t>A 33057-2022</t>
        </is>
      </c>
      <c r="B42" t="inlineStr">
        <is>
          <t>avverkningsanmälan</t>
        </is>
      </c>
      <c r="C42" t="inlineStr">
        <is>
          <t>Föryngringsavverkning</t>
        </is>
      </c>
      <c r="D42" s="1" t="n">
        <v>44785</v>
      </c>
      <c r="E42" s="1" t="n">
        <v>46272</v>
      </c>
      <c r="F42" t="inlineStr">
        <is>
          <t>KALMAR LÄN</t>
        </is>
      </c>
      <c r="G42" t="inlineStr">
        <is>
          <t>KALMAR</t>
        </is>
      </c>
      <c r="H42" t="inlineStr">
        <is>
          <t>Kyrkan</t>
        </is>
      </c>
      <c r="I42" t="n">
        <v>3.7</v>
      </c>
      <c r="J42" t="n">
        <v>0</v>
      </c>
      <c r="K42" t="n">
        <v>3</v>
      </c>
      <c r="L42" t="n">
        <v>0</v>
      </c>
      <c r="M42" t="n">
        <v>0</v>
      </c>
      <c r="N42" t="n">
        <v>0</v>
      </c>
      <c r="O42" t="n">
        <v>0</v>
      </c>
      <c r="P42" t="n">
        <v>0</v>
      </c>
      <c r="Q42" t="n">
        <v>0</v>
      </c>
      <c r="R42" t="n">
        <v>0</v>
      </c>
      <c r="S42" t="n">
        <v>3</v>
      </c>
      <c r="T42" t="n">
        <v>6</v>
      </c>
      <c r="U42" t="n">
        <v>6</v>
      </c>
      <c r="V42" s="2" t="inlineStr">
        <is>
          <t>Blåmossa
Grovticka
Grönpyrola</t>
        </is>
      </c>
      <c r="W42">
        <f>HYPERLINK("https://klasma.github.io/Logging_0880/artfynd/A 33057-2022 artfynd.xlsx", "A 33057-2022")</f>
        <v/>
      </c>
      <c r="X42">
        <f>HYPERLINK("https://klasma.github.io/Logging_0880/kartor/A 33057-2022 karta.png", "A 33057-2022")</f>
        <v/>
      </c>
      <c r="Y42">
        <f>HYPERLINK("https://klasma.github.io/Logging_0880/kartor_geotiff/A 33057-2022 georefererad karta.tif", "A 33057-2022")</f>
        <v/>
      </c>
      <c r="AA42">
        <f>HYPERLINK("https://klasma.github.io/Logging_0880/klagomål/A 33057-2022 FSC-klagomål.docx", "A 33057-2022")</f>
        <v/>
      </c>
      <c r="AB42">
        <f>HYPERLINK("https://klasma.github.io/Logging_0880/klagomålsmail/A 33057-2022 FSC-klagomål mail.docx", "A 33057-2022")</f>
        <v/>
      </c>
      <c r="AC42">
        <f>HYPERLINK("https://klasma.github.io/Logging_0880/tillsyn/A 33057-2022 tillsynsbegäran.docx", "A 33057-2022")</f>
        <v/>
      </c>
      <c r="AD42">
        <f>HYPERLINK("https://klasma.github.io/Logging_0880/tillsynsmail/A 33057-2022 tillsynsbegäran mail.docx", "A 33057-2022")</f>
        <v/>
      </c>
    </row>
    <row r="43" ht="15" customHeight="1">
      <c r="A43" t="inlineStr">
        <is>
          <t>A 31781-2023</t>
        </is>
      </c>
      <c r="B43" t="inlineStr">
        <is>
          <t>avverkningsanmälan</t>
        </is>
      </c>
      <c r="C43" t="inlineStr">
        <is>
          <t>Föryngringsavverkning</t>
        </is>
      </c>
      <c r="D43" s="1" t="n">
        <v>45118</v>
      </c>
      <c r="E43" s="1" t="n">
        <v>46272</v>
      </c>
      <c r="F43" t="inlineStr">
        <is>
          <t>KALMAR LÄN</t>
        </is>
      </c>
      <c r="G43" t="inlineStr">
        <is>
          <t>KALMAR</t>
        </is>
      </c>
      <c r="I43" t="n">
        <v>7.5</v>
      </c>
      <c r="J43" t="n">
        <v>1</v>
      </c>
      <c r="K43" t="n">
        <v>1</v>
      </c>
      <c r="L43" t="n">
        <v>1</v>
      </c>
      <c r="M43" t="n">
        <v>1</v>
      </c>
      <c r="N43" t="n">
        <v>0</v>
      </c>
      <c r="O43" t="n">
        <v>0</v>
      </c>
      <c r="P43" t="n">
        <v>0</v>
      </c>
      <c r="Q43" t="n">
        <v>2</v>
      </c>
      <c r="R43" t="n">
        <v>1</v>
      </c>
      <c r="S43" t="n">
        <v>3</v>
      </c>
      <c r="T43" t="n">
        <v>5</v>
      </c>
      <c r="U43" t="n">
        <v>0</v>
      </c>
      <c r="V43" s="2" t="inlineStr">
        <is>
          <t>Läderbagge
Gammelekslav
Grå skärelav</t>
        </is>
      </c>
      <c r="W43">
        <f>HYPERLINK("https://klasma.github.io/Logging_0880/artfynd/A 31781-2023 artfynd.xlsx", "A 31781-2023")</f>
        <v/>
      </c>
      <c r="X43">
        <f>HYPERLINK("https://klasma.github.io/Logging_0880/kartor/A 31781-2023 karta.png", "A 31781-2023")</f>
        <v/>
      </c>
      <c r="Y43">
        <f>HYPERLINK("https://klasma.github.io/Logging_0880/kartor_geotiff/A 31781-2023 georefererad karta.tif", "A 31781-2023")</f>
        <v/>
      </c>
      <c r="AA43">
        <f>HYPERLINK("https://klasma.github.io/Logging_0880/klagomål/A 31781-2023 FSC-klagomål.docx", "A 31781-2023")</f>
        <v/>
      </c>
      <c r="AB43">
        <f>HYPERLINK("https://klasma.github.io/Logging_0880/klagomålsmail/A 31781-2023 FSC-klagomål mail.docx", "A 31781-2023")</f>
        <v/>
      </c>
      <c r="AC43">
        <f>HYPERLINK("https://klasma.github.io/Logging_0880/tillsyn/A 31781-2023 tillsynsbegäran.docx", "A 31781-2023")</f>
        <v/>
      </c>
      <c r="AD43">
        <f>HYPERLINK("https://klasma.github.io/Logging_0880/tillsynsmail/A 31781-2023 tillsynsbegäran mail.docx", "A 31781-2023")</f>
        <v/>
      </c>
    </row>
    <row r="44" ht="15" customHeight="1">
      <c r="A44" t="inlineStr">
        <is>
          <t>A 18881-2023</t>
        </is>
      </c>
      <c r="B44" t="inlineStr">
        <is>
          <t>avverkningsanmälan</t>
        </is>
      </c>
      <c r="C44" t="inlineStr">
        <is>
          <t>Föryngringsavverkning</t>
        </is>
      </c>
      <c r="D44" s="1" t="n">
        <v>45044</v>
      </c>
      <c r="E44" s="1" t="n">
        <v>46272</v>
      </c>
      <c r="F44" t="inlineStr">
        <is>
          <t>KALMAR LÄN</t>
        </is>
      </c>
      <c r="G44" t="inlineStr">
        <is>
          <t>KALMAR</t>
        </is>
      </c>
      <c r="I44" t="n">
        <v>1</v>
      </c>
      <c r="J44" t="n">
        <v>1</v>
      </c>
      <c r="K44" t="n">
        <v>0</v>
      </c>
      <c r="L44" t="n">
        <v>0</v>
      </c>
      <c r="M44" t="n">
        <v>2</v>
      </c>
      <c r="N44" t="n">
        <v>0</v>
      </c>
      <c r="O44" t="n">
        <v>0</v>
      </c>
      <c r="P44" t="n">
        <v>0</v>
      </c>
      <c r="Q44" t="n">
        <v>2</v>
      </c>
      <c r="R44" t="n">
        <v>2</v>
      </c>
      <c r="S44" t="n">
        <v>3</v>
      </c>
      <c r="T44" t="n">
        <v>4</v>
      </c>
      <c r="U44" t="n">
        <v>4</v>
      </c>
      <c r="V44" s="2" t="inlineStr">
        <is>
          <t>Bredbrämad bastardsvärmare
Mindre bastardsvärmare
Gullviva</t>
        </is>
      </c>
      <c r="W44">
        <f>HYPERLINK("https://klasma.github.io/Logging_0880/artfynd/A 18881-2023 artfynd.xlsx", "A 18881-2023")</f>
        <v/>
      </c>
      <c r="X44">
        <f>HYPERLINK("https://klasma.github.io/Logging_0880/kartor/A 18881-2023 karta.png", "A 18881-2023")</f>
        <v/>
      </c>
      <c r="Y44">
        <f>HYPERLINK("https://klasma.github.io/Logging_0880/kartor_geotiff/A 18881-2023 georefererad karta.tif", "A 18881-2023")</f>
        <v/>
      </c>
      <c r="AA44">
        <f>HYPERLINK("https://klasma.github.io/Logging_0880/klagomål/A 18881-2023 FSC-klagomål.docx", "A 18881-2023")</f>
        <v/>
      </c>
      <c r="AB44">
        <f>HYPERLINK("https://klasma.github.io/Logging_0880/klagomålsmail/A 18881-2023 FSC-klagomål mail.docx", "A 18881-2023")</f>
        <v/>
      </c>
      <c r="AC44">
        <f>HYPERLINK("https://klasma.github.io/Logging_0880/tillsyn/A 18881-2023 tillsynsbegäran.docx", "A 18881-2023")</f>
        <v/>
      </c>
      <c r="AD44">
        <f>HYPERLINK("https://klasma.github.io/Logging_0880/tillsynsmail/A 18881-2023 tillsynsbegäran mail.docx", "A 18881-2023")</f>
        <v/>
      </c>
    </row>
    <row r="45" ht="15" customHeight="1">
      <c r="A45" t="inlineStr">
        <is>
          <t>A 4538-2023</t>
        </is>
      </c>
      <c r="B45" t="inlineStr">
        <is>
          <t>avverkningsanmälan</t>
        </is>
      </c>
      <c r="C45" t="inlineStr">
        <is>
          <t>Föryngringsavverkning</t>
        </is>
      </c>
      <c r="D45" s="1" t="n">
        <v>44951</v>
      </c>
      <c r="E45" s="1" t="n">
        <v>46272</v>
      </c>
      <c r="F45" t="inlineStr">
        <is>
          <t>KALMAR LÄN</t>
        </is>
      </c>
      <c r="G45" t="inlineStr">
        <is>
          <t>KALMAR</t>
        </is>
      </c>
      <c r="I45" t="n">
        <v>3.2</v>
      </c>
      <c r="J45" t="n">
        <v>0</v>
      </c>
      <c r="K45" t="n">
        <v>3</v>
      </c>
      <c r="L45" t="n">
        <v>0</v>
      </c>
      <c r="M45" t="n">
        <v>0</v>
      </c>
      <c r="N45" t="n">
        <v>0</v>
      </c>
      <c r="O45" t="n">
        <v>0</v>
      </c>
      <c r="P45" t="n">
        <v>0</v>
      </c>
      <c r="Q45" t="n">
        <v>0</v>
      </c>
      <c r="R45" t="n">
        <v>0</v>
      </c>
      <c r="S45" t="n">
        <v>3</v>
      </c>
      <c r="T45" t="n">
        <v>3</v>
      </c>
      <c r="U45" t="n">
        <v>3</v>
      </c>
      <c r="V45" s="2" t="inlineStr">
        <is>
          <t>Bronshjon
Kornig nållav
Kornknutmossa</t>
        </is>
      </c>
      <c r="W45">
        <f>HYPERLINK("https://klasma.github.io/Logging_0880/artfynd/A 4538-2023 artfynd.xlsx", "A 4538-2023")</f>
        <v/>
      </c>
      <c r="X45">
        <f>HYPERLINK("https://klasma.github.io/Logging_0880/kartor/A 4538-2023 karta.png", "A 4538-2023")</f>
        <v/>
      </c>
      <c r="Y45">
        <f>HYPERLINK("https://klasma.github.io/Logging_0880/kartor_geotiff/A 4538-2023 georefererad karta.tif", "A 4538-2023")</f>
        <v/>
      </c>
      <c r="AA45">
        <f>HYPERLINK("https://klasma.github.io/Logging_0880/klagomål/A 4538-2023 FSC-klagomål.docx", "A 4538-2023")</f>
        <v/>
      </c>
      <c r="AB45">
        <f>HYPERLINK("https://klasma.github.io/Logging_0880/klagomålsmail/A 4538-2023 FSC-klagomål mail.docx", "A 4538-2023")</f>
        <v/>
      </c>
      <c r="AC45">
        <f>HYPERLINK("https://klasma.github.io/Logging_0880/tillsyn/A 4538-2023 tillsynsbegäran.docx", "A 4538-2023")</f>
        <v/>
      </c>
      <c r="AD45">
        <f>HYPERLINK("https://klasma.github.io/Logging_0880/tillsynsmail/A 4538-2023 tillsynsbegäran mail.docx", "A 4538-2023")</f>
        <v/>
      </c>
    </row>
    <row r="46" ht="15" customHeight="1">
      <c r="A46" t="inlineStr">
        <is>
          <t>A 31314-2023</t>
        </is>
      </c>
      <c r="B46" t="inlineStr">
        <is>
          <t>avverkningsanmälan</t>
        </is>
      </c>
      <c r="C46" t="inlineStr">
        <is>
          <t>Föryngringsavverkning</t>
        </is>
      </c>
      <c r="D46" s="1" t="n">
        <v>45114</v>
      </c>
      <c r="E46" s="1" t="n">
        <v>46272</v>
      </c>
      <c r="F46" t="inlineStr">
        <is>
          <t>KALMAR LÄN</t>
        </is>
      </c>
      <c r="G46" t="inlineStr">
        <is>
          <t>KALMAR</t>
        </is>
      </c>
      <c r="I46" t="n">
        <v>5.5</v>
      </c>
      <c r="J46" t="n">
        <v>2</v>
      </c>
      <c r="K46" t="n">
        <v>1</v>
      </c>
      <c r="L46" t="n">
        <v>0</v>
      </c>
      <c r="M46" t="n">
        <v>0</v>
      </c>
      <c r="N46" t="n">
        <v>0</v>
      </c>
      <c r="O46" t="n">
        <v>0</v>
      </c>
      <c r="P46" t="n">
        <v>0</v>
      </c>
      <c r="Q46" t="n">
        <v>0</v>
      </c>
      <c r="R46" t="n">
        <v>0</v>
      </c>
      <c r="S46" t="n">
        <v>3</v>
      </c>
      <c r="T46" t="n">
        <v>3</v>
      </c>
      <c r="U46" t="n">
        <v>2</v>
      </c>
      <c r="V46" s="2" t="inlineStr">
        <is>
          <t>Grönpyrola
Blåsippa
Nattskärra</t>
        </is>
      </c>
      <c r="W46">
        <f>HYPERLINK("https://klasma.github.io/Logging_0880/artfynd/A 31314-2023 artfynd.xlsx", "A 31314-2023")</f>
        <v/>
      </c>
      <c r="X46">
        <f>HYPERLINK("https://klasma.github.io/Logging_0880/kartor/A 31314-2023 karta.png", "A 31314-2023")</f>
        <v/>
      </c>
      <c r="Y46">
        <f>HYPERLINK("https://klasma.github.io/Logging_0880/kartor_geotiff/A 31314-2023 georefererad karta.tif", "A 31314-2023")</f>
        <v/>
      </c>
      <c r="AA46">
        <f>HYPERLINK("https://klasma.github.io/Logging_0880/klagomål/A 31314-2023 FSC-klagomål.docx", "A 31314-2023")</f>
        <v/>
      </c>
      <c r="AB46">
        <f>HYPERLINK("https://klasma.github.io/Logging_0880/klagomålsmail/A 31314-2023 FSC-klagomål mail.docx", "A 31314-2023")</f>
        <v/>
      </c>
      <c r="AC46">
        <f>HYPERLINK("https://klasma.github.io/Logging_0880/tillsyn/A 31314-2023 tillsynsbegäran.docx", "A 31314-2023")</f>
        <v/>
      </c>
      <c r="AD46">
        <f>HYPERLINK("https://klasma.github.io/Logging_0880/tillsynsmail/A 31314-2023 tillsynsbegäran mail.docx", "A 31314-2023")</f>
        <v/>
      </c>
      <c r="AE46">
        <f>HYPERLINK("https://klasma.github.io/Logging_0880/fåglar/A 31314-2023 prioriterade fågelarter.docx", "A 31314-2023")</f>
        <v/>
      </c>
    </row>
    <row r="47" ht="15" customHeight="1">
      <c r="A47" t="inlineStr">
        <is>
          <t>A 9858-2024</t>
        </is>
      </c>
      <c r="B47" t="inlineStr">
        <is>
          <t>avverkningsanmälan</t>
        </is>
      </c>
      <c r="C47" t="inlineStr">
        <is>
          <t>Föryngringsavverkning</t>
        </is>
      </c>
      <c r="D47" s="1" t="n">
        <v>45363</v>
      </c>
      <c r="E47" s="1" t="n">
        <v>46272</v>
      </c>
      <c r="F47" t="inlineStr">
        <is>
          <t>KALMAR LÄN</t>
        </is>
      </c>
      <c r="G47" t="inlineStr">
        <is>
          <t>KALMAR</t>
        </is>
      </c>
      <c r="I47" t="n">
        <v>1.8</v>
      </c>
      <c r="J47" t="n">
        <v>1</v>
      </c>
      <c r="K47" t="n">
        <v>1</v>
      </c>
      <c r="L47" t="n">
        <v>1</v>
      </c>
      <c r="M47" t="n">
        <v>1</v>
      </c>
      <c r="N47" t="n">
        <v>0</v>
      </c>
      <c r="O47" t="n">
        <v>0</v>
      </c>
      <c r="P47" t="n">
        <v>0</v>
      </c>
      <c r="Q47" t="n">
        <v>2</v>
      </c>
      <c r="R47" t="n">
        <v>1</v>
      </c>
      <c r="S47" t="n">
        <v>3</v>
      </c>
      <c r="T47" t="n">
        <v>3</v>
      </c>
      <c r="U47" t="n">
        <v>0</v>
      </c>
      <c r="V47" s="2" t="inlineStr">
        <is>
          <t>Knärot
Tallkötticka
Guldlockmossa</t>
        </is>
      </c>
      <c r="W47">
        <f>HYPERLINK("https://klasma.github.io/Logging_0880/artfynd/A 9858-2024 artfynd.xlsx", "A 9858-2024")</f>
        <v/>
      </c>
      <c r="X47">
        <f>HYPERLINK("https://klasma.github.io/Logging_0880/kartor/A 9858-2024 karta.png", "A 9858-2024")</f>
        <v/>
      </c>
      <c r="Y47">
        <f>HYPERLINK("https://klasma.github.io/Logging_0880/kartor_geotiff/A 9858-2024 georefererad karta.tif", "A 9858-2024")</f>
        <v/>
      </c>
      <c r="Z47">
        <f>HYPERLINK("https://klasma.github.io/Logging_0880/knärot/A 9858-2024 karta knärot.png", "A 9858-2024")</f>
        <v/>
      </c>
      <c r="AA47">
        <f>HYPERLINK("https://klasma.github.io/Logging_0880/klagomål/A 9858-2024 FSC-klagomål.docx", "A 9858-2024")</f>
        <v/>
      </c>
      <c r="AB47">
        <f>HYPERLINK("https://klasma.github.io/Logging_0880/klagomålsmail/A 9858-2024 FSC-klagomål mail.docx", "A 9858-2024")</f>
        <v/>
      </c>
      <c r="AC47">
        <f>HYPERLINK("https://klasma.github.io/Logging_0880/tillsyn/A 9858-2024 tillsynsbegäran.docx", "A 9858-2024")</f>
        <v/>
      </c>
      <c r="AD47">
        <f>HYPERLINK("https://klasma.github.io/Logging_0880/tillsynsmail/A 9858-2024 tillsynsbegäran mail.docx", "A 9858-2024")</f>
        <v/>
      </c>
    </row>
    <row r="48" ht="15" customHeight="1">
      <c r="A48" t="inlineStr">
        <is>
          <t>S 1125-2022</t>
        </is>
      </c>
      <c r="B48" t="inlineStr">
        <is>
          <t>samrådsanmälan</t>
        </is>
      </c>
      <c r="C48" t="inlineStr">
        <is>
          <t>Annan skogsbruksåtgärd</t>
        </is>
      </c>
      <c r="D48" s="1" t="n">
        <v>44616</v>
      </c>
      <c r="E48" s="1" t="n">
        <v>46272</v>
      </c>
      <c r="F48" t="inlineStr">
        <is>
          <t>KALMAR LÄN</t>
        </is>
      </c>
      <c r="G48" t="inlineStr">
        <is>
          <t>KALMAR</t>
        </is>
      </c>
      <c r="H48" t="inlineStr">
        <is>
          <t>Kyrkan</t>
        </is>
      </c>
      <c r="I48" t="n">
        <v>0.4</v>
      </c>
      <c r="J48" t="n">
        <v>1</v>
      </c>
      <c r="K48" t="n">
        <v>2</v>
      </c>
      <c r="L48" t="n">
        <v>0</v>
      </c>
      <c r="M48" t="n">
        <v>0</v>
      </c>
      <c r="N48" t="n">
        <v>0</v>
      </c>
      <c r="O48" t="n">
        <v>0</v>
      </c>
      <c r="P48" t="n">
        <v>0</v>
      </c>
      <c r="Q48" t="n">
        <v>0</v>
      </c>
      <c r="R48" t="n">
        <v>0</v>
      </c>
      <c r="S48" t="n">
        <v>3</v>
      </c>
      <c r="T48" t="n">
        <v>3</v>
      </c>
      <c r="U48" t="n">
        <v>0</v>
      </c>
      <c r="V48" s="2" t="inlineStr">
        <is>
          <t>Grå skärelav
Sotlav
Havsörn</t>
        </is>
      </c>
      <c r="W48">
        <f>HYPERLINK("https://klasma.github.io/Logging_0880/artfynd/S 1125-2022 artfynd.xlsx", "S 1125-2022")</f>
        <v/>
      </c>
      <c r="X48">
        <f>HYPERLINK("https://klasma.github.io/Logging_0880/kartor/S 1125-2022 karta.png", "S 1125-2022")</f>
        <v/>
      </c>
      <c r="Y48">
        <f>HYPERLINK("https://klasma.github.io/Logging_0880/kartor_geotiff/S 1125-2022 georefererad karta.tif", "S 1125-2022")</f>
        <v/>
      </c>
      <c r="AA48">
        <f>HYPERLINK("https://klasma.github.io/Logging_0880/klagomål/S 1125-2022 FSC-klagomål.docx", "S 1125-2022")</f>
        <v/>
      </c>
      <c r="AB48">
        <f>HYPERLINK("https://klasma.github.io/Logging_0880/klagomålsmail/S 1125-2022 FSC-klagomål mail.docx", "S 1125-2022")</f>
        <v/>
      </c>
      <c r="AC48">
        <f>HYPERLINK("https://klasma.github.io/Logging_0880/tillsyn/S 1125-2022 tillsynsbegäran.docx", "S 1125-2022")</f>
        <v/>
      </c>
      <c r="AD48">
        <f>HYPERLINK("https://klasma.github.io/Logging_0880/tillsynsmail/S 1125-2022 tillsynsbegäran mail.docx", "S 1125-2022")</f>
        <v/>
      </c>
      <c r="AE48">
        <f>HYPERLINK("https://klasma.github.io/Logging_0880/fåglar/S 1125-2022 prioriterade fågelarter.docx", "S 1125-2022")</f>
        <v/>
      </c>
    </row>
    <row r="49" ht="15" customHeight="1">
      <c r="A49" t="inlineStr">
        <is>
          <t>S 661-2022</t>
        </is>
      </c>
      <c r="B49" t="inlineStr">
        <is>
          <t>samrådsanmälan</t>
        </is>
      </c>
      <c r="C49" t="inlineStr">
        <is>
          <t>Askåterföring</t>
        </is>
      </c>
      <c r="D49" s="1" t="n">
        <v>44595</v>
      </c>
      <c r="E49" s="1" t="n">
        <v>46272</v>
      </c>
      <c r="F49" t="inlineStr">
        <is>
          <t>KALMAR LÄN</t>
        </is>
      </c>
      <c r="G49" t="inlineStr">
        <is>
          <t>KALMAR</t>
        </is>
      </c>
      <c r="I49" t="n">
        <v>19.8</v>
      </c>
      <c r="J49" t="n">
        <v>1</v>
      </c>
      <c r="K49" t="n">
        <v>1</v>
      </c>
      <c r="L49" t="n">
        <v>1</v>
      </c>
      <c r="M49" t="n">
        <v>0</v>
      </c>
      <c r="N49" t="n">
        <v>0</v>
      </c>
      <c r="O49" t="n">
        <v>0</v>
      </c>
      <c r="P49" t="n">
        <v>0</v>
      </c>
      <c r="Q49" t="n">
        <v>1</v>
      </c>
      <c r="R49" t="n">
        <v>0</v>
      </c>
      <c r="S49" t="n">
        <v>3</v>
      </c>
      <c r="T49" t="n">
        <v>3</v>
      </c>
      <c r="U49" t="n">
        <v>2</v>
      </c>
      <c r="V49" s="2" t="inlineStr">
        <is>
          <t>Svart skogssnigel
Åttafläckig praktbagge
Nattskärra</t>
        </is>
      </c>
      <c r="W49">
        <f>HYPERLINK("https://klasma.github.io/Logging_0880/artfynd/S 661-2022 artfynd.xlsx", "S 661-2022")</f>
        <v/>
      </c>
      <c r="X49">
        <f>HYPERLINK("https://klasma.github.io/Logging_0880/kartor/S 661-2022 karta.png", "S 661-2022")</f>
        <v/>
      </c>
      <c r="Y49">
        <f>HYPERLINK("https://klasma.github.io/Logging_0880/kartor_geotiff/S 661-2022 georefererad karta.tif", "S 661-2022")</f>
        <v/>
      </c>
      <c r="AA49">
        <f>HYPERLINK("https://klasma.github.io/Logging_0880/klagomål/S 661-2022 FSC-klagomål.docx", "S 661-2022")</f>
        <v/>
      </c>
      <c r="AB49">
        <f>HYPERLINK("https://klasma.github.io/Logging_0880/klagomålsmail/S 661-2022 FSC-klagomål mail.docx", "S 661-2022")</f>
        <v/>
      </c>
      <c r="AC49">
        <f>HYPERLINK("https://klasma.github.io/Logging_0880/tillsyn/S 661-2022 tillsynsbegäran.docx", "S 661-2022")</f>
        <v/>
      </c>
      <c r="AD49">
        <f>HYPERLINK("https://klasma.github.io/Logging_0880/tillsynsmail/S 661-2022 tillsynsbegäran mail.docx", "S 661-2022")</f>
        <v/>
      </c>
      <c r="AE49">
        <f>HYPERLINK("https://klasma.github.io/Logging_0880/fåglar/S 661-2022 prioriterade fågelarter.docx", "S 661-2022")</f>
        <v/>
      </c>
    </row>
    <row r="50" ht="15" customHeight="1">
      <c r="A50" t="inlineStr">
        <is>
          <t>S 2484-2025</t>
        </is>
      </c>
      <c r="B50" t="inlineStr">
        <is>
          <t>samrådsanmälan</t>
        </is>
      </c>
      <c r="C50" t="inlineStr">
        <is>
          <t>Askåterföring</t>
        </is>
      </c>
      <c r="D50" s="1" t="n">
        <v>45903</v>
      </c>
      <c r="E50" s="1" t="n">
        <v>46272</v>
      </c>
      <c r="F50" t="inlineStr">
        <is>
          <t>KALMAR LÄN</t>
        </is>
      </c>
      <c r="G50" t="inlineStr">
        <is>
          <t>KALMAR</t>
        </is>
      </c>
      <c r="I50" t="n">
        <v>22</v>
      </c>
      <c r="J50" t="n">
        <v>0</v>
      </c>
      <c r="K50" t="n">
        <v>2</v>
      </c>
      <c r="L50" t="n">
        <v>1</v>
      </c>
      <c r="M50" t="n">
        <v>0</v>
      </c>
      <c r="N50" t="n">
        <v>0</v>
      </c>
      <c r="O50" t="n">
        <v>0</v>
      </c>
      <c r="P50" t="n">
        <v>0</v>
      </c>
      <c r="Q50" t="n">
        <v>1</v>
      </c>
      <c r="R50" t="n">
        <v>0</v>
      </c>
      <c r="S50" t="n">
        <v>3</v>
      </c>
      <c r="T50" t="n">
        <v>5</v>
      </c>
      <c r="U50" t="n">
        <v>0</v>
      </c>
      <c r="V50" s="2" t="inlineStr">
        <is>
          <t>Grynig filtlav
Bårdlav
Fällmossa</t>
        </is>
      </c>
      <c r="W50">
        <f>HYPERLINK("https://klasma.github.io/Logging_0880/artfynd/S 2484-2025 artfynd.xlsx", "S 2484-2025")</f>
        <v/>
      </c>
      <c r="X50">
        <f>HYPERLINK("https://klasma.github.io/Logging_0880/kartor/S 2484-2025 karta.png", "S 2484-2025")</f>
        <v/>
      </c>
      <c r="Y50">
        <f>HYPERLINK("https://klasma.github.io/Logging_0880/kartor_geotiff/S 2484-2025 georefererad karta.tif", "S 2484-2025")</f>
        <v/>
      </c>
      <c r="AA50">
        <f>HYPERLINK("https://klasma.github.io/Logging_0880/klagomål/S 2484-2025 FSC-klagomål.docx", "S 2484-2025")</f>
        <v/>
      </c>
      <c r="AB50">
        <f>HYPERLINK("https://klasma.github.io/Logging_0880/klagomålsmail/S 2484-2025 FSC-klagomål mail.docx", "S 2484-2025")</f>
        <v/>
      </c>
      <c r="AC50">
        <f>HYPERLINK("https://klasma.github.io/Logging_0880/tillsyn/S 2484-2025 tillsynsbegäran.docx", "S 2484-2025")</f>
        <v/>
      </c>
      <c r="AD50">
        <f>HYPERLINK("https://klasma.github.io/Logging_0880/tillsynsmail/S 2484-2025 tillsynsbegäran mail.docx", "S 2484-2025")</f>
        <v/>
      </c>
    </row>
    <row r="51" ht="15" customHeight="1">
      <c r="A51" t="inlineStr">
        <is>
          <t>S 2978-2025</t>
        </is>
      </c>
      <c r="B51" t="inlineStr">
        <is>
          <t>samrådsanmälan</t>
        </is>
      </c>
      <c r="C51" t="inlineStr">
        <is>
          <t>Annan skogsbruksåtgärd</t>
        </is>
      </c>
      <c r="D51" s="1" t="n">
        <v>45954</v>
      </c>
      <c r="E51" s="1" t="n">
        <v>46272</v>
      </c>
      <c r="F51" t="inlineStr">
        <is>
          <t>KALMAR LÄN</t>
        </is>
      </c>
      <c r="G51" t="inlineStr">
        <is>
          <t>KALMAR</t>
        </is>
      </c>
      <c r="I51" t="n">
        <v>4</v>
      </c>
      <c r="J51" t="n">
        <v>0</v>
      </c>
      <c r="K51" t="n">
        <v>2</v>
      </c>
      <c r="L51" t="n">
        <v>0</v>
      </c>
      <c r="M51" t="n">
        <v>0</v>
      </c>
      <c r="N51" t="n">
        <v>1</v>
      </c>
      <c r="O51" t="n">
        <v>0</v>
      </c>
      <c r="P51" t="n">
        <v>0</v>
      </c>
      <c r="Q51" t="n">
        <v>1</v>
      </c>
      <c r="R51" t="n">
        <v>1</v>
      </c>
      <c r="S51" t="n">
        <v>3</v>
      </c>
      <c r="T51" t="n">
        <v>5</v>
      </c>
      <c r="U51" t="n">
        <v>0</v>
      </c>
      <c r="V51" s="2" t="inlineStr">
        <is>
          <t>Ask
Grå skärelav
Gulnål</t>
        </is>
      </c>
      <c r="W51">
        <f>HYPERLINK("https://klasma.github.io/Logging_0880/artfynd/S 2978-2025 artfynd.xlsx", "S 2978-2025")</f>
        <v/>
      </c>
      <c r="X51">
        <f>HYPERLINK("https://klasma.github.io/Logging_0880/kartor/S 2978-2025 karta.png", "S 2978-2025")</f>
        <v/>
      </c>
      <c r="Y51">
        <f>HYPERLINK("https://klasma.github.io/Logging_0880/kartor_geotiff/S 2978-2025 georefererad karta.tif", "S 2978-2025")</f>
        <v/>
      </c>
      <c r="AA51">
        <f>HYPERLINK("https://klasma.github.io/Logging_0880/klagomål/S 2978-2025 FSC-klagomål.docx", "S 2978-2025")</f>
        <v/>
      </c>
      <c r="AB51">
        <f>HYPERLINK("https://klasma.github.io/Logging_0880/klagomålsmail/S 2978-2025 FSC-klagomål mail.docx", "S 2978-2025")</f>
        <v/>
      </c>
      <c r="AC51">
        <f>HYPERLINK("https://klasma.github.io/Logging_0880/tillsyn/S 2978-2025 tillsynsbegäran.docx", "S 2978-2025")</f>
        <v/>
      </c>
      <c r="AD51">
        <f>HYPERLINK("https://klasma.github.io/Logging_0880/tillsynsmail/S 2978-2025 tillsynsbegäran mail.docx", "S 2978-2025")</f>
        <v/>
      </c>
    </row>
    <row r="52" ht="15" customHeight="1">
      <c r="A52" t="inlineStr">
        <is>
          <t>A 66092-2021</t>
        </is>
      </c>
      <c r="B52" t="inlineStr">
        <is>
          <t>avverkningsanmälan</t>
        </is>
      </c>
      <c r="C52" t="inlineStr">
        <is>
          <t>Föryngringsavverkning</t>
        </is>
      </c>
      <c r="D52" s="1" t="n">
        <v>44517</v>
      </c>
      <c r="E52" s="1" t="n">
        <v>46272</v>
      </c>
      <c r="F52" t="inlineStr">
        <is>
          <t>KALMAR LÄN</t>
        </is>
      </c>
      <c r="G52" t="inlineStr">
        <is>
          <t>KALMAR</t>
        </is>
      </c>
      <c r="I52" t="n">
        <v>1.4</v>
      </c>
      <c r="J52" t="n">
        <v>2</v>
      </c>
      <c r="K52" t="n">
        <v>0</v>
      </c>
      <c r="L52" t="n">
        <v>0</v>
      </c>
      <c r="M52" t="n">
        <v>0</v>
      </c>
      <c r="N52" t="n">
        <v>0</v>
      </c>
      <c r="O52" t="n">
        <v>0</v>
      </c>
      <c r="P52" t="n">
        <v>0</v>
      </c>
      <c r="Q52" t="n">
        <v>0</v>
      </c>
      <c r="R52" t="n">
        <v>0</v>
      </c>
      <c r="S52" t="n">
        <v>2</v>
      </c>
      <c r="T52" t="n">
        <v>2</v>
      </c>
      <c r="U52" t="n">
        <v>2</v>
      </c>
      <c r="V52" s="2" t="inlineStr">
        <is>
          <t>Spillkråka
Trädlärka</t>
        </is>
      </c>
      <c r="W52">
        <f>HYPERLINK("https://klasma.github.io/Logging_0880/artfynd/A 66092-2021 artfynd.xlsx", "A 66092-2021")</f>
        <v/>
      </c>
      <c r="X52">
        <f>HYPERLINK("https://klasma.github.io/Logging_0880/kartor/A 66092-2021 karta.png", "A 66092-2021")</f>
        <v/>
      </c>
      <c r="Y52">
        <f>HYPERLINK("https://klasma.github.io/Logging_0880/kartor_geotiff/A 66092-2021 georefererad karta.tif", "A 66092-2021")</f>
        <v/>
      </c>
      <c r="AA52">
        <f>HYPERLINK("https://klasma.github.io/Logging_0880/klagomål/A 66092-2021 FSC-klagomål.docx", "A 66092-2021")</f>
        <v/>
      </c>
      <c r="AB52">
        <f>HYPERLINK("https://klasma.github.io/Logging_0880/klagomålsmail/A 66092-2021 FSC-klagomål mail.docx", "A 66092-2021")</f>
        <v/>
      </c>
      <c r="AC52">
        <f>HYPERLINK("https://klasma.github.io/Logging_0880/tillsyn/A 66092-2021 tillsynsbegäran.docx", "A 66092-2021")</f>
        <v/>
      </c>
      <c r="AD52">
        <f>HYPERLINK("https://klasma.github.io/Logging_0880/tillsynsmail/A 66092-2021 tillsynsbegäran mail.docx", "A 66092-2021")</f>
        <v/>
      </c>
      <c r="AE52">
        <f>HYPERLINK("https://klasma.github.io/Logging_0880/fåglar/A 66092-2021 prioriterade fågelarter.docx", "A 66092-2021")</f>
        <v/>
      </c>
    </row>
    <row r="53" ht="15" customHeight="1">
      <c r="A53" t="inlineStr">
        <is>
          <t>A 7107-2023</t>
        </is>
      </c>
      <c r="B53" t="inlineStr">
        <is>
          <t>avverkningsanmälan</t>
        </is>
      </c>
      <c r="C53" t="inlineStr">
        <is>
          <t>Föryngringsavverkning</t>
        </is>
      </c>
      <c r="D53" s="1" t="n">
        <v>44970</v>
      </c>
      <c r="E53" s="1" t="n">
        <v>46272</v>
      </c>
      <c r="F53" t="inlineStr">
        <is>
          <t>KALMAR LÄN</t>
        </is>
      </c>
      <c r="G53" t="inlineStr">
        <is>
          <t>KALMAR</t>
        </is>
      </c>
      <c r="I53" t="n">
        <v>1.1</v>
      </c>
      <c r="J53" t="n">
        <v>0</v>
      </c>
      <c r="K53" t="n">
        <v>2</v>
      </c>
      <c r="L53" t="n">
        <v>0</v>
      </c>
      <c r="M53" t="n">
        <v>0</v>
      </c>
      <c r="N53" t="n">
        <v>0</v>
      </c>
      <c r="O53" t="n">
        <v>0</v>
      </c>
      <c r="P53" t="n">
        <v>0</v>
      </c>
      <c r="Q53" t="n">
        <v>0</v>
      </c>
      <c r="R53" t="n">
        <v>0</v>
      </c>
      <c r="S53" t="n">
        <v>2</v>
      </c>
      <c r="T53" t="n">
        <v>2</v>
      </c>
      <c r="U53" t="n">
        <v>2</v>
      </c>
      <c r="V53" s="2" t="inlineStr">
        <is>
          <t>Barkticka
Fällmossa</t>
        </is>
      </c>
      <c r="W53">
        <f>HYPERLINK("https://klasma.github.io/Logging_0880/artfynd/A 7107-2023 artfynd.xlsx", "A 7107-2023")</f>
        <v/>
      </c>
      <c r="X53">
        <f>HYPERLINK("https://klasma.github.io/Logging_0880/kartor/A 7107-2023 karta.png", "A 7107-2023")</f>
        <v/>
      </c>
      <c r="Y53">
        <f>HYPERLINK("https://klasma.github.io/Logging_0880/kartor_geotiff/A 7107-2023 georefererad karta.tif", "A 7107-2023")</f>
        <v/>
      </c>
      <c r="AA53">
        <f>HYPERLINK("https://klasma.github.io/Logging_0880/klagomål/A 7107-2023 FSC-klagomål.docx", "A 7107-2023")</f>
        <v/>
      </c>
      <c r="AB53">
        <f>HYPERLINK("https://klasma.github.io/Logging_0880/klagomålsmail/A 7107-2023 FSC-klagomål mail.docx", "A 7107-2023")</f>
        <v/>
      </c>
      <c r="AC53">
        <f>HYPERLINK("https://klasma.github.io/Logging_0880/tillsyn/A 7107-2023 tillsynsbegäran.docx", "A 7107-2023")</f>
        <v/>
      </c>
      <c r="AD53">
        <f>HYPERLINK("https://klasma.github.io/Logging_0880/tillsynsmail/A 7107-2023 tillsynsbegäran mail.docx", "A 7107-2023")</f>
        <v/>
      </c>
    </row>
    <row r="54" ht="15" customHeight="1">
      <c r="A54" t="inlineStr">
        <is>
          <t>A 44916-2024</t>
        </is>
      </c>
      <c r="B54" t="inlineStr">
        <is>
          <t>avverkningsanmälan</t>
        </is>
      </c>
      <c r="C54" t="inlineStr">
        <is>
          <t>Föryngringsavverkning</t>
        </is>
      </c>
      <c r="D54" s="1" t="n">
        <v>45575</v>
      </c>
      <c r="E54" s="1" t="n">
        <v>46272</v>
      </c>
      <c r="F54" t="inlineStr">
        <is>
          <t>KALMAR LÄN</t>
        </is>
      </c>
      <c r="G54" t="inlineStr">
        <is>
          <t>KALMAR</t>
        </is>
      </c>
      <c r="I54" t="n">
        <v>2.4</v>
      </c>
      <c r="J54" t="n">
        <v>1</v>
      </c>
      <c r="K54" t="n">
        <v>1</v>
      </c>
      <c r="L54" t="n">
        <v>0</v>
      </c>
      <c r="M54" t="n">
        <v>0</v>
      </c>
      <c r="N54" t="n">
        <v>1</v>
      </c>
      <c r="O54" t="n">
        <v>0</v>
      </c>
      <c r="P54" t="n">
        <v>0</v>
      </c>
      <c r="Q54" t="n">
        <v>1</v>
      </c>
      <c r="R54" t="n">
        <v>1</v>
      </c>
      <c r="S54" t="n">
        <v>2</v>
      </c>
      <c r="T54" t="n">
        <v>2</v>
      </c>
      <c r="U54" t="n">
        <v>1</v>
      </c>
      <c r="V54" s="2" t="inlineStr">
        <is>
          <t>Mosippa
Blomkålssvamp</t>
        </is>
      </c>
      <c r="W54">
        <f>HYPERLINK("https://klasma.github.io/Logging_0880/artfynd/A 44916-2024 artfynd.xlsx", "A 44916-2024")</f>
        <v/>
      </c>
      <c r="X54">
        <f>HYPERLINK("https://klasma.github.io/Logging_0880/kartor/A 44916-2024 karta.png", "A 44916-2024")</f>
        <v/>
      </c>
      <c r="Y54">
        <f>HYPERLINK("https://klasma.github.io/Logging_0880/kartor_geotiff/A 44916-2024 georefererad karta.tif", "A 44916-2024")</f>
        <v/>
      </c>
      <c r="AA54">
        <f>HYPERLINK("https://klasma.github.io/Logging_0880/klagomål/A 44916-2024 FSC-klagomål.docx", "A 44916-2024")</f>
        <v/>
      </c>
      <c r="AB54">
        <f>HYPERLINK("https://klasma.github.io/Logging_0880/klagomålsmail/A 44916-2024 FSC-klagomål mail.docx", "A 44916-2024")</f>
        <v/>
      </c>
      <c r="AC54">
        <f>HYPERLINK("https://klasma.github.io/Logging_0880/tillsyn/A 44916-2024 tillsynsbegäran.docx", "A 44916-2024")</f>
        <v/>
      </c>
      <c r="AD54">
        <f>HYPERLINK("https://klasma.github.io/Logging_0880/tillsynsmail/A 44916-2024 tillsynsbegäran mail.docx", "A 44916-2024")</f>
        <v/>
      </c>
    </row>
    <row r="55" ht="15" customHeight="1">
      <c r="A55" t="inlineStr">
        <is>
          <t>A 35871-2022</t>
        </is>
      </c>
      <c r="B55" t="inlineStr">
        <is>
          <t>avverkningsanmälan</t>
        </is>
      </c>
      <c r="C55" t="inlineStr">
        <is>
          <t>Avverkning för annat ändamål</t>
        </is>
      </c>
      <c r="D55" s="1" t="n">
        <v>44802</v>
      </c>
      <c r="E55" s="1" t="n">
        <v>46272</v>
      </c>
      <c r="F55" t="inlineStr">
        <is>
          <t>KALMAR LÄN</t>
        </is>
      </c>
      <c r="G55" t="inlineStr">
        <is>
          <t>KALMAR</t>
        </is>
      </c>
      <c r="I55" t="n">
        <v>1</v>
      </c>
      <c r="J55" t="n">
        <v>2</v>
      </c>
      <c r="K55" t="n">
        <v>0</v>
      </c>
      <c r="L55" t="n">
        <v>1</v>
      </c>
      <c r="M55" t="n">
        <v>0</v>
      </c>
      <c r="N55" t="n">
        <v>0</v>
      </c>
      <c r="O55" t="n">
        <v>0</v>
      </c>
      <c r="P55" t="n">
        <v>0</v>
      </c>
      <c r="Q55" t="n">
        <v>1</v>
      </c>
      <c r="R55" t="n">
        <v>0</v>
      </c>
      <c r="S55" t="n">
        <v>2</v>
      </c>
      <c r="T55" t="n">
        <v>2</v>
      </c>
      <c r="U55" t="n">
        <v>0</v>
      </c>
      <c r="V55" s="2" t="inlineStr">
        <is>
          <t>Nordfladdermus
Större brunfladdermus</t>
        </is>
      </c>
      <c r="W55">
        <f>HYPERLINK("https://klasma.github.io/Logging_0880/artfynd/A 35871-2022 artfynd.xlsx", "A 35871-2022")</f>
        <v/>
      </c>
      <c r="X55">
        <f>HYPERLINK("https://klasma.github.io/Logging_0880/kartor/A 35871-2022 karta.png", "A 35871-2022")</f>
        <v/>
      </c>
      <c r="Y55">
        <f>HYPERLINK("https://klasma.github.io/Logging_0880/kartor_geotiff/A 35871-2022 georefererad karta.tif", "A 35871-2022")</f>
        <v/>
      </c>
      <c r="AA55">
        <f>HYPERLINK("https://klasma.github.io/Logging_0880/klagomål/A 35871-2022 FSC-klagomål.docx", "A 35871-2022")</f>
        <v/>
      </c>
      <c r="AB55">
        <f>HYPERLINK("https://klasma.github.io/Logging_0880/klagomålsmail/A 35871-2022 FSC-klagomål mail.docx", "A 35871-2022")</f>
        <v/>
      </c>
      <c r="AC55">
        <f>HYPERLINK("https://klasma.github.io/Logging_0880/tillsyn/A 35871-2022 tillsynsbegäran.docx", "A 35871-2022")</f>
        <v/>
      </c>
      <c r="AD55">
        <f>HYPERLINK("https://klasma.github.io/Logging_0880/tillsynsmail/A 35871-2022 tillsynsbegäran mail.docx", "A 35871-2022")</f>
        <v/>
      </c>
    </row>
    <row r="56" ht="15" customHeight="1">
      <c r="A56" t="inlineStr">
        <is>
          <t>A 46095-2025</t>
        </is>
      </c>
      <c r="B56" t="inlineStr">
        <is>
          <t>avverkningsanmälan</t>
        </is>
      </c>
      <c r="C56" t="inlineStr">
        <is>
          <t>Föryngringsavverkning</t>
        </is>
      </c>
      <c r="D56" s="1" t="n">
        <v>45924</v>
      </c>
      <c r="E56" s="1" t="n">
        <v>46272</v>
      </c>
      <c r="F56" t="inlineStr">
        <is>
          <t>KALMAR LÄN</t>
        </is>
      </c>
      <c r="G56" t="inlineStr">
        <is>
          <t>KALMAR</t>
        </is>
      </c>
      <c r="I56" t="n">
        <v>2.3</v>
      </c>
      <c r="J56" t="n">
        <v>0</v>
      </c>
      <c r="K56" t="n">
        <v>1</v>
      </c>
      <c r="L56" t="n">
        <v>1</v>
      </c>
      <c r="M56" t="n">
        <v>0</v>
      </c>
      <c r="N56" t="n">
        <v>0</v>
      </c>
      <c r="O56" t="n">
        <v>0</v>
      </c>
      <c r="P56" t="n">
        <v>0</v>
      </c>
      <c r="Q56" t="n">
        <v>1</v>
      </c>
      <c r="R56" t="n">
        <v>0</v>
      </c>
      <c r="S56" t="n">
        <v>2</v>
      </c>
      <c r="T56" t="n">
        <v>3</v>
      </c>
      <c r="U56" t="n">
        <v>0</v>
      </c>
      <c r="V56" s="2" t="inlineStr">
        <is>
          <t>Motaggsvamp
Blåmossa</t>
        </is>
      </c>
      <c r="W56">
        <f>HYPERLINK("https://klasma.github.io/Logging_0880/artfynd/A 46095-2025 artfynd.xlsx", "A 46095-2025")</f>
        <v/>
      </c>
      <c r="X56">
        <f>HYPERLINK("https://klasma.github.io/Logging_0880/kartor/A 46095-2025 karta.png", "A 46095-2025")</f>
        <v/>
      </c>
      <c r="Y56">
        <f>HYPERLINK("https://klasma.github.io/Logging_0880/kartor_geotiff/A 46095-2025 georefererad karta.tif", "A 46095-2025")</f>
        <v/>
      </c>
      <c r="AA56">
        <f>HYPERLINK("https://klasma.github.io/Logging_0880/klagomål/A 46095-2025 FSC-klagomål.docx", "A 46095-2025")</f>
        <v/>
      </c>
      <c r="AB56">
        <f>HYPERLINK("https://klasma.github.io/Logging_0880/klagomålsmail/A 46095-2025 FSC-klagomål mail.docx", "A 46095-2025")</f>
        <v/>
      </c>
      <c r="AC56">
        <f>HYPERLINK("https://klasma.github.io/Logging_0880/tillsyn/A 46095-2025 tillsynsbegäran.docx", "A 46095-2025")</f>
        <v/>
      </c>
      <c r="AD56">
        <f>HYPERLINK("https://klasma.github.io/Logging_0880/tillsynsmail/A 46095-2025 tillsynsbegäran mail.docx", "A 46095-2025")</f>
        <v/>
      </c>
    </row>
    <row r="57" ht="15" customHeight="1">
      <c r="A57" t="inlineStr">
        <is>
          <t>A 56482-2023</t>
        </is>
      </c>
      <c r="B57" t="inlineStr">
        <is>
          <t>avverkningsanmälan</t>
        </is>
      </c>
      <c r="C57" t="inlineStr">
        <is>
          <t>Föryngringsavverkning</t>
        </is>
      </c>
      <c r="D57" s="1" t="n">
        <v>45243</v>
      </c>
      <c r="E57" s="1" t="n">
        <v>46272</v>
      </c>
      <c r="F57" t="inlineStr">
        <is>
          <t>KALMAR LÄN</t>
        </is>
      </c>
      <c r="G57" t="inlineStr">
        <is>
          <t>KALMAR</t>
        </is>
      </c>
      <c r="I57" t="n">
        <v>2.7</v>
      </c>
      <c r="J57" t="n">
        <v>1</v>
      </c>
      <c r="K57" t="n">
        <v>1</v>
      </c>
      <c r="L57" t="n">
        <v>0</v>
      </c>
      <c r="M57" t="n">
        <v>0</v>
      </c>
      <c r="N57" t="n">
        <v>0</v>
      </c>
      <c r="O57" t="n">
        <v>0</v>
      </c>
      <c r="P57" t="n">
        <v>0</v>
      </c>
      <c r="Q57" t="n">
        <v>0</v>
      </c>
      <c r="R57" t="n">
        <v>0</v>
      </c>
      <c r="S57" t="n">
        <v>2</v>
      </c>
      <c r="T57" t="n">
        <v>2</v>
      </c>
      <c r="U57" t="n">
        <v>1</v>
      </c>
      <c r="V57" s="2" t="inlineStr">
        <is>
          <t>Murgröna
Skogsödla</t>
        </is>
      </c>
      <c r="W57">
        <f>HYPERLINK("https://klasma.github.io/Logging_0880/artfynd/A 56482-2023 artfynd.xlsx", "A 56482-2023")</f>
        <v/>
      </c>
      <c r="X57">
        <f>HYPERLINK("https://klasma.github.io/Logging_0880/kartor/A 56482-2023 karta.png", "A 56482-2023")</f>
        <v/>
      </c>
      <c r="Y57">
        <f>HYPERLINK("https://klasma.github.io/Logging_0880/kartor_geotiff/A 56482-2023 georefererad karta.tif", "A 56482-2023")</f>
        <v/>
      </c>
      <c r="AA57">
        <f>HYPERLINK("https://klasma.github.io/Logging_0880/klagomål/A 56482-2023 FSC-klagomål.docx", "A 56482-2023")</f>
        <v/>
      </c>
      <c r="AB57">
        <f>HYPERLINK("https://klasma.github.io/Logging_0880/klagomålsmail/A 56482-2023 FSC-klagomål mail.docx", "A 56482-2023")</f>
        <v/>
      </c>
      <c r="AC57">
        <f>HYPERLINK("https://klasma.github.io/Logging_0880/tillsyn/A 56482-2023 tillsynsbegäran.docx", "A 56482-2023")</f>
        <v/>
      </c>
      <c r="AD57">
        <f>HYPERLINK("https://klasma.github.io/Logging_0880/tillsynsmail/A 56482-2023 tillsynsbegäran mail.docx", "A 56482-2023")</f>
        <v/>
      </c>
    </row>
    <row r="58" ht="15" customHeight="1">
      <c r="A58" t="inlineStr">
        <is>
          <t>A 10836-2025</t>
        </is>
      </c>
      <c r="B58" t="inlineStr">
        <is>
          <t>avverkningsanmälan</t>
        </is>
      </c>
      <c r="C58" t="inlineStr">
        <is>
          <t>Föryngringsavverkning</t>
        </is>
      </c>
      <c r="D58" s="1" t="n">
        <v>45722</v>
      </c>
      <c r="E58" s="1" t="n">
        <v>46272</v>
      </c>
      <c r="F58" t="inlineStr">
        <is>
          <t>KALMAR LÄN</t>
        </is>
      </c>
      <c r="G58" t="inlineStr">
        <is>
          <t>KALMAR</t>
        </is>
      </c>
      <c r="H58" t="inlineStr">
        <is>
          <t>Sveaskog</t>
        </is>
      </c>
      <c r="I58" t="n">
        <v>9.300000000000001</v>
      </c>
      <c r="J58" t="n">
        <v>2</v>
      </c>
      <c r="K58" t="n">
        <v>0</v>
      </c>
      <c r="L58" t="n">
        <v>0</v>
      </c>
      <c r="M58" t="n">
        <v>0</v>
      </c>
      <c r="N58" t="n">
        <v>2</v>
      </c>
      <c r="O58" t="n">
        <v>0</v>
      </c>
      <c r="P58" t="n">
        <v>0</v>
      </c>
      <c r="Q58" t="n">
        <v>2</v>
      </c>
      <c r="R58" t="n">
        <v>2</v>
      </c>
      <c r="S58" t="n">
        <v>2</v>
      </c>
      <c r="T58" t="n">
        <v>2</v>
      </c>
      <c r="U58" t="n">
        <v>1</v>
      </c>
      <c r="V58" s="2" t="inlineStr">
        <is>
          <t>Hornuggla
Pärluggla</t>
        </is>
      </c>
      <c r="W58">
        <f>HYPERLINK("https://klasma.github.io/Logging_0880/artfynd/A 10836-2025 artfynd.xlsx", "A 10836-2025")</f>
        <v/>
      </c>
      <c r="X58">
        <f>HYPERLINK("https://klasma.github.io/Logging_0880/kartor/A 10836-2025 karta.png", "A 10836-2025")</f>
        <v/>
      </c>
      <c r="Y58">
        <f>HYPERLINK("https://klasma.github.io/Logging_0880/kartor_geotiff/A 10836-2025 georefererad karta.tif", "A 10836-2025")</f>
        <v/>
      </c>
      <c r="AA58">
        <f>HYPERLINK("https://klasma.github.io/Logging_0880/klagomål/A 10836-2025 FSC-klagomål.docx", "A 10836-2025")</f>
        <v/>
      </c>
      <c r="AB58">
        <f>HYPERLINK("https://klasma.github.io/Logging_0880/klagomålsmail/A 10836-2025 FSC-klagomål mail.docx", "A 10836-2025")</f>
        <v/>
      </c>
      <c r="AC58">
        <f>HYPERLINK("https://klasma.github.io/Logging_0880/tillsyn/A 10836-2025 tillsynsbegäran.docx", "A 10836-2025")</f>
        <v/>
      </c>
      <c r="AD58">
        <f>HYPERLINK("https://klasma.github.io/Logging_0880/tillsynsmail/A 10836-2025 tillsynsbegäran mail.docx", "A 10836-2025")</f>
        <v/>
      </c>
      <c r="AE58">
        <f>HYPERLINK("https://klasma.github.io/Logging_0880/fåglar/A 10836-2025 prioriterade fågelarter.docx", "A 10836-2025")</f>
        <v/>
      </c>
    </row>
    <row r="59" ht="15" customHeight="1">
      <c r="A59" t="inlineStr">
        <is>
          <t>A 11732-2023</t>
        </is>
      </c>
      <c r="B59" t="inlineStr">
        <is>
          <t>avverkningsanmälan</t>
        </is>
      </c>
      <c r="C59" t="inlineStr">
        <is>
          <t>Föryngringsavverkning</t>
        </is>
      </c>
      <c r="D59" s="1" t="n">
        <v>44994</v>
      </c>
      <c r="E59" s="1" t="n">
        <v>46272</v>
      </c>
      <c r="F59" t="inlineStr">
        <is>
          <t>KALMAR LÄN</t>
        </is>
      </c>
      <c r="G59" t="inlineStr">
        <is>
          <t>KALMAR</t>
        </is>
      </c>
      <c r="I59" t="n">
        <v>1</v>
      </c>
      <c r="J59" t="n">
        <v>2</v>
      </c>
      <c r="K59" t="n">
        <v>0</v>
      </c>
      <c r="L59" t="n">
        <v>0</v>
      </c>
      <c r="M59" t="n">
        <v>0</v>
      </c>
      <c r="N59" t="n">
        <v>0</v>
      </c>
      <c r="O59" t="n">
        <v>0</v>
      </c>
      <c r="P59" t="n">
        <v>0</v>
      </c>
      <c r="Q59" t="n">
        <v>0</v>
      </c>
      <c r="R59" t="n">
        <v>0</v>
      </c>
      <c r="S59" t="n">
        <v>2</v>
      </c>
      <c r="T59" t="n">
        <v>2</v>
      </c>
      <c r="U59" t="n">
        <v>0</v>
      </c>
      <c r="V59" s="2" t="inlineStr">
        <is>
          <t>Hasselmus
Röd glada</t>
        </is>
      </c>
      <c r="W59">
        <f>HYPERLINK("https://klasma.github.io/Logging_0880/artfynd/A 11732-2023 artfynd.xlsx", "A 11732-2023")</f>
        <v/>
      </c>
      <c r="X59">
        <f>HYPERLINK("https://klasma.github.io/Logging_0880/kartor/A 11732-2023 karta.png", "A 11732-2023")</f>
        <v/>
      </c>
      <c r="Y59">
        <f>HYPERLINK("https://klasma.github.io/Logging_0880/kartor_geotiff/A 11732-2023 georefererad karta.tif", "A 11732-2023")</f>
        <v/>
      </c>
      <c r="AA59">
        <f>HYPERLINK("https://klasma.github.io/Logging_0880/klagomål/A 11732-2023 FSC-klagomål.docx", "A 11732-2023")</f>
        <v/>
      </c>
      <c r="AB59">
        <f>HYPERLINK("https://klasma.github.io/Logging_0880/klagomålsmail/A 11732-2023 FSC-klagomål mail.docx", "A 11732-2023")</f>
        <v/>
      </c>
      <c r="AC59">
        <f>HYPERLINK("https://klasma.github.io/Logging_0880/tillsyn/A 11732-2023 tillsynsbegäran.docx", "A 11732-2023")</f>
        <v/>
      </c>
      <c r="AD59">
        <f>HYPERLINK("https://klasma.github.io/Logging_0880/tillsynsmail/A 11732-2023 tillsynsbegäran mail.docx", "A 11732-2023")</f>
        <v/>
      </c>
      <c r="AE59">
        <f>HYPERLINK("https://klasma.github.io/Logging_0880/fåglar/A 11732-2023 prioriterade fågelarter.docx", "A 11732-2023")</f>
        <v/>
      </c>
    </row>
    <row r="60" ht="15" customHeight="1">
      <c r="A60" t="inlineStr">
        <is>
          <t>A 11735-2023</t>
        </is>
      </c>
      <c r="B60" t="inlineStr">
        <is>
          <t>avverkningsanmälan</t>
        </is>
      </c>
      <c r="C60" t="inlineStr">
        <is>
          <t>Föryngringsavverkning</t>
        </is>
      </c>
      <c r="D60" s="1" t="n">
        <v>44994</v>
      </c>
      <c r="E60" s="1" t="n">
        <v>46272</v>
      </c>
      <c r="F60" t="inlineStr">
        <is>
          <t>KALMAR LÄN</t>
        </is>
      </c>
      <c r="G60" t="inlineStr">
        <is>
          <t>KALMAR</t>
        </is>
      </c>
      <c r="I60" t="n">
        <v>1.1</v>
      </c>
      <c r="J60" t="n">
        <v>2</v>
      </c>
      <c r="K60" t="n">
        <v>0</v>
      </c>
      <c r="L60" t="n">
        <v>0</v>
      </c>
      <c r="M60" t="n">
        <v>1</v>
      </c>
      <c r="N60" t="n">
        <v>0</v>
      </c>
      <c r="O60" t="n">
        <v>0</v>
      </c>
      <c r="P60" t="n">
        <v>0</v>
      </c>
      <c r="Q60" t="n">
        <v>1</v>
      </c>
      <c r="R60" t="n">
        <v>1</v>
      </c>
      <c r="S60" t="n">
        <v>2</v>
      </c>
      <c r="T60" t="n">
        <v>2</v>
      </c>
      <c r="U60" t="n">
        <v>2</v>
      </c>
      <c r="V60" s="2" t="inlineStr">
        <is>
          <t>Hasselsnok
Vanlig snok</t>
        </is>
      </c>
      <c r="W60">
        <f>HYPERLINK("https://klasma.github.io/Logging_0880/artfynd/A 11735-2023 artfynd.xlsx", "A 11735-2023")</f>
        <v/>
      </c>
      <c r="X60">
        <f>HYPERLINK("https://klasma.github.io/Logging_0880/kartor/A 11735-2023 karta.png", "A 11735-2023")</f>
        <v/>
      </c>
      <c r="Y60">
        <f>HYPERLINK("https://klasma.github.io/Logging_0880/kartor_geotiff/A 11735-2023 georefererad karta.tif", "A 11735-2023")</f>
        <v/>
      </c>
      <c r="AA60">
        <f>HYPERLINK("https://klasma.github.io/Logging_0880/klagomål/A 11735-2023 FSC-klagomål.docx", "A 11735-2023")</f>
        <v/>
      </c>
      <c r="AB60">
        <f>HYPERLINK("https://klasma.github.io/Logging_0880/klagomålsmail/A 11735-2023 FSC-klagomål mail.docx", "A 11735-2023")</f>
        <v/>
      </c>
      <c r="AC60">
        <f>HYPERLINK("https://klasma.github.io/Logging_0880/tillsyn/A 11735-2023 tillsynsbegäran.docx", "A 11735-2023")</f>
        <v/>
      </c>
      <c r="AD60">
        <f>HYPERLINK("https://klasma.github.io/Logging_0880/tillsynsmail/A 11735-2023 tillsynsbegäran mail.docx", "A 11735-2023")</f>
        <v/>
      </c>
    </row>
    <row r="61" ht="15" customHeight="1">
      <c r="A61" t="inlineStr">
        <is>
          <t>A 54865-2025</t>
        </is>
      </c>
      <c r="B61" t="inlineStr">
        <is>
          <t>avverkningsanmälan</t>
        </is>
      </c>
      <c r="C61" t="inlineStr">
        <is>
          <t>Föryngringsavverkning</t>
        </is>
      </c>
      <c r="D61" s="1" t="n">
        <v>45966</v>
      </c>
      <c r="E61" s="1" t="n">
        <v>46272</v>
      </c>
      <c r="F61" t="inlineStr">
        <is>
          <t>KALMAR LÄN</t>
        </is>
      </c>
      <c r="G61" t="inlineStr">
        <is>
          <t>KALMAR</t>
        </is>
      </c>
      <c r="I61" t="n">
        <v>1.8</v>
      </c>
      <c r="J61" t="n">
        <v>0</v>
      </c>
      <c r="K61" t="n">
        <v>1</v>
      </c>
      <c r="L61" t="n">
        <v>1</v>
      </c>
      <c r="M61" t="n">
        <v>0</v>
      </c>
      <c r="N61" t="n">
        <v>0</v>
      </c>
      <c r="O61" t="n">
        <v>0</v>
      </c>
      <c r="P61" t="n">
        <v>0</v>
      </c>
      <c r="Q61" t="n">
        <v>1</v>
      </c>
      <c r="R61" t="n">
        <v>0</v>
      </c>
      <c r="S61" t="n">
        <v>2</v>
      </c>
      <c r="T61" t="n">
        <v>2</v>
      </c>
      <c r="U61" t="n">
        <v>0</v>
      </c>
      <c r="V61" s="2" t="inlineStr">
        <is>
          <t>Cinnoberspindling
Västlig hakmossa</t>
        </is>
      </c>
      <c r="W61">
        <f>HYPERLINK("https://klasma.github.io/Logging_0880/artfynd/A 54865-2025 artfynd.xlsx", "A 54865-2025")</f>
        <v/>
      </c>
      <c r="X61">
        <f>HYPERLINK("https://klasma.github.io/Logging_0880/kartor/A 54865-2025 karta.png", "A 54865-2025")</f>
        <v/>
      </c>
      <c r="Y61">
        <f>HYPERLINK("https://klasma.github.io/Logging_0880/kartor_geotiff/A 54865-2025 georefererad karta.tif", "A 54865-2025")</f>
        <v/>
      </c>
      <c r="AA61">
        <f>HYPERLINK("https://klasma.github.io/Logging_0880/klagomål/A 54865-2025 FSC-klagomål.docx", "A 54865-2025")</f>
        <v/>
      </c>
      <c r="AB61">
        <f>HYPERLINK("https://klasma.github.io/Logging_0880/klagomålsmail/A 54865-2025 FSC-klagomål mail.docx", "A 54865-2025")</f>
        <v/>
      </c>
      <c r="AC61">
        <f>HYPERLINK("https://klasma.github.io/Logging_0880/tillsyn/A 54865-2025 tillsynsbegäran.docx", "A 54865-2025")</f>
        <v/>
      </c>
      <c r="AD61">
        <f>HYPERLINK("https://klasma.github.io/Logging_0880/tillsynsmail/A 54865-2025 tillsynsbegäran mail.docx", "A 54865-2025")</f>
        <v/>
      </c>
    </row>
    <row r="62" ht="15" customHeight="1">
      <c r="A62" t="inlineStr">
        <is>
          <t>A 44711-2023</t>
        </is>
      </c>
      <c r="B62" t="inlineStr">
        <is>
          <t>avverkningsanmälan</t>
        </is>
      </c>
      <c r="C62" t="inlineStr">
        <is>
          <t>Föryngringsavverkning</t>
        </is>
      </c>
      <c r="D62" s="1" t="n">
        <v>45190</v>
      </c>
      <c r="E62" s="1" t="n">
        <v>46272</v>
      </c>
      <c r="F62" t="inlineStr">
        <is>
          <t>KALMAR LÄN</t>
        </is>
      </c>
      <c r="G62" t="inlineStr">
        <is>
          <t>KALMAR</t>
        </is>
      </c>
      <c r="I62" t="n">
        <v>0.4</v>
      </c>
      <c r="J62" t="n">
        <v>2</v>
      </c>
      <c r="K62" t="n">
        <v>0</v>
      </c>
      <c r="L62" t="n">
        <v>1</v>
      </c>
      <c r="M62" t="n">
        <v>0</v>
      </c>
      <c r="N62" t="n">
        <v>0</v>
      </c>
      <c r="O62" t="n">
        <v>0</v>
      </c>
      <c r="P62" t="n">
        <v>0</v>
      </c>
      <c r="Q62" t="n">
        <v>1</v>
      </c>
      <c r="R62" t="n">
        <v>0</v>
      </c>
      <c r="S62" t="n">
        <v>2</v>
      </c>
      <c r="T62" t="n">
        <v>2</v>
      </c>
      <c r="U62" t="n">
        <v>0</v>
      </c>
      <c r="V62" s="2" t="inlineStr">
        <is>
          <t>Gulsparv
Havsörn</t>
        </is>
      </c>
      <c r="W62">
        <f>HYPERLINK("https://klasma.github.io/Logging_0880/artfynd/A 44711-2023 artfynd.xlsx", "A 44711-2023")</f>
        <v/>
      </c>
      <c r="X62">
        <f>HYPERLINK("https://klasma.github.io/Logging_0880/kartor/A 44711-2023 karta.png", "A 44711-2023")</f>
        <v/>
      </c>
      <c r="Y62">
        <f>HYPERLINK("https://klasma.github.io/Logging_0880/kartor_geotiff/A 44711-2023 georefererad karta.tif", "A 44711-2023")</f>
        <v/>
      </c>
      <c r="AA62">
        <f>HYPERLINK("https://klasma.github.io/Logging_0880/klagomål/A 44711-2023 FSC-klagomål.docx", "A 44711-2023")</f>
        <v/>
      </c>
      <c r="AB62">
        <f>HYPERLINK("https://klasma.github.io/Logging_0880/klagomålsmail/A 44711-2023 FSC-klagomål mail.docx", "A 44711-2023")</f>
        <v/>
      </c>
      <c r="AC62">
        <f>HYPERLINK("https://klasma.github.io/Logging_0880/tillsyn/A 44711-2023 tillsynsbegäran.docx", "A 44711-2023")</f>
        <v/>
      </c>
      <c r="AD62">
        <f>HYPERLINK("https://klasma.github.io/Logging_0880/tillsynsmail/A 44711-2023 tillsynsbegäran mail.docx", "A 44711-2023")</f>
        <v/>
      </c>
      <c r="AE62">
        <f>HYPERLINK("https://klasma.github.io/Logging_0880/fåglar/A 44711-2023 prioriterade fågelarter.docx", "A 44711-2023")</f>
        <v/>
      </c>
    </row>
    <row r="63" ht="15" customHeight="1">
      <c r="A63" t="inlineStr">
        <is>
          <t>A 17374-2026</t>
        </is>
      </c>
      <c r="B63" t="inlineStr">
        <is>
          <t>avverkningsanmälan</t>
        </is>
      </c>
      <c r="C63" t="inlineStr">
        <is>
          <t>Föryngringsavverkning</t>
        </is>
      </c>
      <c r="D63" s="1" t="n">
        <v>46119</v>
      </c>
      <c r="E63" s="1" t="n">
        <v>46272</v>
      </c>
      <c r="F63" t="inlineStr">
        <is>
          <t>KALMAR LÄN</t>
        </is>
      </c>
      <c r="G63" t="inlineStr">
        <is>
          <t>KALMAR</t>
        </is>
      </c>
      <c r="I63" t="n">
        <v>6</v>
      </c>
      <c r="J63" t="n">
        <v>2</v>
      </c>
      <c r="K63" t="n">
        <v>0</v>
      </c>
      <c r="L63" t="n">
        <v>1</v>
      </c>
      <c r="M63" t="n">
        <v>0</v>
      </c>
      <c r="N63" t="n">
        <v>0</v>
      </c>
      <c r="O63" t="n">
        <v>0</v>
      </c>
      <c r="P63" t="n">
        <v>0</v>
      </c>
      <c r="Q63" t="n">
        <v>1</v>
      </c>
      <c r="R63" t="n">
        <v>0</v>
      </c>
      <c r="S63" t="n">
        <v>2</v>
      </c>
      <c r="T63" t="n">
        <v>2</v>
      </c>
      <c r="U63" t="n">
        <v>0</v>
      </c>
      <c r="V63" s="2" t="inlineStr">
        <is>
          <t>Nordfladdermus
Dvärgpipistrell</t>
        </is>
      </c>
      <c r="W63">
        <f>HYPERLINK("https://klasma.github.io/Logging_0880/artfynd/A 17374-2026 artfynd.xlsx", "A 17374-2026")</f>
        <v/>
      </c>
      <c r="X63">
        <f>HYPERLINK("https://klasma.github.io/Logging_0880/kartor/A 17374-2026 karta.png", "A 17374-2026")</f>
        <v/>
      </c>
      <c r="Y63">
        <f>HYPERLINK("https://klasma.github.io/Logging_0880/kartor_geotiff/A 17374-2026 georefererad karta.tif", "A 17374-2026")</f>
        <v/>
      </c>
      <c r="AA63">
        <f>HYPERLINK("https://klasma.github.io/Logging_0880/klagomål/A 17374-2026 FSC-klagomål.docx", "A 17374-2026")</f>
        <v/>
      </c>
      <c r="AB63">
        <f>HYPERLINK("https://klasma.github.io/Logging_0880/klagomålsmail/A 17374-2026 FSC-klagomål mail.docx", "A 17374-2026")</f>
        <v/>
      </c>
      <c r="AC63">
        <f>HYPERLINK("https://klasma.github.io/Logging_0880/tillsyn/A 17374-2026 tillsynsbegäran.docx", "A 17374-2026")</f>
        <v/>
      </c>
      <c r="AD63">
        <f>HYPERLINK("https://klasma.github.io/Logging_0880/tillsynsmail/A 17374-2026 tillsynsbegäran mail.docx", "A 17374-2026")</f>
        <v/>
      </c>
    </row>
    <row r="64" ht="15" customHeight="1">
      <c r="A64" t="inlineStr">
        <is>
          <t>A 17390-2026</t>
        </is>
      </c>
      <c r="B64" t="inlineStr">
        <is>
          <t>avverkningsanmälan</t>
        </is>
      </c>
      <c r="C64" t="inlineStr">
        <is>
          <t>Föryngringsavverkning</t>
        </is>
      </c>
      <c r="D64" s="1" t="n">
        <v>46119</v>
      </c>
      <c r="E64" s="1" t="n">
        <v>46272</v>
      </c>
      <c r="F64" t="inlineStr">
        <is>
          <t>KALMAR LÄN</t>
        </is>
      </c>
      <c r="G64" t="inlineStr">
        <is>
          <t>KALMAR</t>
        </is>
      </c>
      <c r="I64" t="n">
        <v>7</v>
      </c>
      <c r="J64" t="n">
        <v>0</v>
      </c>
      <c r="K64" t="n">
        <v>2</v>
      </c>
      <c r="L64" t="n">
        <v>0</v>
      </c>
      <c r="M64" t="n">
        <v>0</v>
      </c>
      <c r="N64" t="n">
        <v>0</v>
      </c>
      <c r="O64" t="n">
        <v>0</v>
      </c>
      <c r="P64" t="n">
        <v>0</v>
      </c>
      <c r="Q64" t="n">
        <v>0</v>
      </c>
      <c r="R64" t="n">
        <v>0</v>
      </c>
      <c r="S64" t="n">
        <v>2</v>
      </c>
      <c r="T64" t="n">
        <v>3</v>
      </c>
      <c r="U64" t="n">
        <v>0</v>
      </c>
      <c r="V64" s="2" t="inlineStr">
        <is>
          <t>Blåmossa
Tibast</t>
        </is>
      </c>
      <c r="W64">
        <f>HYPERLINK("https://klasma.github.io/Logging_0880/artfynd/A 17390-2026 artfynd.xlsx", "A 17390-2026")</f>
        <v/>
      </c>
      <c r="X64">
        <f>HYPERLINK("https://klasma.github.io/Logging_0880/kartor/A 17390-2026 karta.png", "A 17390-2026")</f>
        <v/>
      </c>
      <c r="Y64">
        <f>HYPERLINK("https://klasma.github.io/Logging_0880/kartor_geotiff/A 17390-2026 georefererad karta.tif", "A 17390-2026")</f>
        <v/>
      </c>
      <c r="AA64">
        <f>HYPERLINK("https://klasma.github.io/Logging_0880/klagomål/A 17390-2026 FSC-klagomål.docx", "A 17390-2026")</f>
        <v/>
      </c>
      <c r="AB64">
        <f>HYPERLINK("https://klasma.github.io/Logging_0880/klagomålsmail/A 17390-2026 FSC-klagomål mail.docx", "A 17390-2026")</f>
        <v/>
      </c>
      <c r="AC64">
        <f>HYPERLINK("https://klasma.github.io/Logging_0880/tillsyn/A 17390-2026 tillsynsbegäran.docx", "A 17390-2026")</f>
        <v/>
      </c>
      <c r="AD64">
        <f>HYPERLINK("https://klasma.github.io/Logging_0880/tillsynsmail/A 17390-2026 tillsynsbegäran mail.docx", "A 17390-2026")</f>
        <v/>
      </c>
    </row>
    <row r="65" ht="15" customHeight="1">
      <c r="A65" t="inlineStr">
        <is>
          <t>A 6319-2026</t>
        </is>
      </c>
      <c r="B65" t="inlineStr">
        <is>
          <t>avverkningsanmälan</t>
        </is>
      </c>
      <c r="C65" t="inlineStr">
        <is>
          <t>Föryngringsavverkning</t>
        </is>
      </c>
      <c r="D65" s="1" t="n">
        <v>46055</v>
      </c>
      <c r="E65" s="1" t="n">
        <v>46272</v>
      </c>
      <c r="F65" t="inlineStr">
        <is>
          <t>KALMAR LÄN</t>
        </is>
      </c>
      <c r="G65" t="inlineStr">
        <is>
          <t>KALMAR</t>
        </is>
      </c>
      <c r="I65" t="n">
        <v>1</v>
      </c>
      <c r="J65" t="n">
        <v>1</v>
      </c>
      <c r="K65" t="n">
        <v>0</v>
      </c>
      <c r="L65" t="n">
        <v>1</v>
      </c>
      <c r="M65" t="n">
        <v>1</v>
      </c>
      <c r="N65" t="n">
        <v>0</v>
      </c>
      <c r="O65" t="n">
        <v>0</v>
      </c>
      <c r="P65" t="n">
        <v>0</v>
      </c>
      <c r="Q65" t="n">
        <v>2</v>
      </c>
      <c r="R65" t="n">
        <v>1</v>
      </c>
      <c r="S65" t="n">
        <v>2</v>
      </c>
      <c r="T65" t="n">
        <v>2</v>
      </c>
      <c r="U65" t="n">
        <v>0</v>
      </c>
      <c r="V65" s="2" t="inlineStr">
        <is>
          <t>Igelkott
Nordfladdermus</t>
        </is>
      </c>
      <c r="W65">
        <f>HYPERLINK("https://klasma.github.io/Logging_0880/artfynd/A 6319-2026 artfynd.xlsx", "A 6319-2026")</f>
        <v/>
      </c>
      <c r="X65">
        <f>HYPERLINK("https://klasma.github.io/Logging_0880/kartor/A 6319-2026 karta.png", "A 6319-2026")</f>
        <v/>
      </c>
      <c r="Y65">
        <f>HYPERLINK("https://klasma.github.io/Logging_0880/kartor_geotiff/A 6319-2026 georefererad karta.tif", "A 6319-2026")</f>
        <v/>
      </c>
      <c r="AA65">
        <f>HYPERLINK("https://klasma.github.io/Logging_0880/klagomål/A 6319-2026 FSC-klagomål.docx", "A 6319-2026")</f>
        <v/>
      </c>
      <c r="AB65">
        <f>HYPERLINK("https://klasma.github.io/Logging_0880/klagomålsmail/A 6319-2026 FSC-klagomål mail.docx", "A 6319-2026")</f>
        <v/>
      </c>
      <c r="AC65">
        <f>HYPERLINK("https://klasma.github.io/Logging_0880/tillsyn/A 6319-2026 tillsynsbegäran.docx", "A 6319-2026")</f>
        <v/>
      </c>
      <c r="AD65">
        <f>HYPERLINK("https://klasma.github.io/Logging_0880/tillsynsmail/A 6319-2026 tillsynsbegäran mail.docx", "A 6319-2026")</f>
        <v/>
      </c>
    </row>
    <row r="66" ht="15" customHeight="1">
      <c r="A66" t="inlineStr">
        <is>
          <t>A 36940-2025</t>
        </is>
      </c>
      <c r="B66" t="inlineStr">
        <is>
          <t>avverkningsanmälan</t>
        </is>
      </c>
      <c r="C66" t="inlineStr">
        <is>
          <t>Föryngringsavverkning</t>
        </is>
      </c>
      <c r="D66" s="1" t="n">
        <v>45874</v>
      </c>
      <c r="E66" s="1" t="n">
        <v>46272</v>
      </c>
      <c r="F66" t="inlineStr">
        <is>
          <t>KALMAR LÄN</t>
        </is>
      </c>
      <c r="G66" t="inlineStr">
        <is>
          <t>KALMAR</t>
        </is>
      </c>
      <c r="I66" t="n">
        <v>3.5</v>
      </c>
      <c r="J66" t="n">
        <v>0</v>
      </c>
      <c r="K66" t="n">
        <v>1</v>
      </c>
      <c r="L66" t="n">
        <v>0</v>
      </c>
      <c r="M66" t="n">
        <v>1</v>
      </c>
      <c r="N66" t="n">
        <v>0</v>
      </c>
      <c r="O66" t="n">
        <v>0</v>
      </c>
      <c r="P66" t="n">
        <v>0</v>
      </c>
      <c r="Q66" t="n">
        <v>1</v>
      </c>
      <c r="R66" t="n">
        <v>1</v>
      </c>
      <c r="S66" t="n">
        <v>2</v>
      </c>
      <c r="T66" t="n">
        <v>2</v>
      </c>
      <c r="U66" t="n">
        <v>0</v>
      </c>
      <c r="V66" s="2" t="inlineStr">
        <is>
          <t>Växeltandsfibbla
Flagellkvastmossa</t>
        </is>
      </c>
      <c r="W66">
        <f>HYPERLINK("https://klasma.github.io/Logging_0880/artfynd/A 36940-2025 artfynd.xlsx", "A 36940-2025")</f>
        <v/>
      </c>
      <c r="X66">
        <f>HYPERLINK("https://klasma.github.io/Logging_0880/kartor/A 36940-2025 karta.png", "A 36940-2025")</f>
        <v/>
      </c>
      <c r="Y66">
        <f>HYPERLINK("https://klasma.github.io/Logging_0880/kartor_geotiff/A 36940-2025 georefererad karta.tif", "A 36940-2025")</f>
        <v/>
      </c>
      <c r="AA66">
        <f>HYPERLINK("https://klasma.github.io/Logging_0880/klagomål/A 36940-2025 FSC-klagomål.docx", "A 36940-2025")</f>
        <v/>
      </c>
      <c r="AB66">
        <f>HYPERLINK("https://klasma.github.io/Logging_0880/klagomålsmail/A 36940-2025 FSC-klagomål mail.docx", "A 36940-2025")</f>
        <v/>
      </c>
      <c r="AC66">
        <f>HYPERLINK("https://klasma.github.io/Logging_0880/tillsyn/A 36940-2025 tillsynsbegäran.docx", "A 36940-2025")</f>
        <v/>
      </c>
      <c r="AD66">
        <f>HYPERLINK("https://klasma.github.io/Logging_0880/tillsynsmail/A 36940-2025 tillsynsbegäran mail.docx", "A 36940-2025")</f>
        <v/>
      </c>
    </row>
    <row r="67" ht="15" customHeight="1">
      <c r="A67" t="inlineStr">
        <is>
          <t>A 31695-2023</t>
        </is>
      </c>
      <c r="B67" t="inlineStr">
        <is>
          <t>avverkningsanmälan</t>
        </is>
      </c>
      <c r="C67" t="inlineStr">
        <is>
          <t>Föryngringsavverkning</t>
        </is>
      </c>
      <c r="D67" s="1" t="n">
        <v>45105</v>
      </c>
      <c r="E67" s="1" t="n">
        <v>46272</v>
      </c>
      <c r="F67" t="inlineStr">
        <is>
          <t>KALMAR LÄN</t>
        </is>
      </c>
      <c r="G67" t="inlineStr">
        <is>
          <t>KALMAR</t>
        </is>
      </c>
      <c r="I67" t="n">
        <v>0.7</v>
      </c>
      <c r="J67" t="n">
        <v>0</v>
      </c>
      <c r="K67" t="n">
        <v>2</v>
      </c>
      <c r="L67" t="n">
        <v>0</v>
      </c>
      <c r="M67" t="n">
        <v>0</v>
      </c>
      <c r="N67" t="n">
        <v>0</v>
      </c>
      <c r="O67" t="n">
        <v>0</v>
      </c>
      <c r="P67" t="n">
        <v>0</v>
      </c>
      <c r="Q67" t="n">
        <v>0</v>
      </c>
      <c r="R67" t="n">
        <v>0</v>
      </c>
      <c r="S67" t="n">
        <v>2</v>
      </c>
      <c r="T67" t="n">
        <v>2</v>
      </c>
      <c r="U67" t="n">
        <v>2</v>
      </c>
      <c r="V67" s="2" t="inlineStr">
        <is>
          <t>Blåmossa
Grovticka</t>
        </is>
      </c>
      <c r="W67">
        <f>HYPERLINK("https://klasma.github.io/Logging_0880/artfynd/A 31695-2023 artfynd.xlsx", "A 31695-2023")</f>
        <v/>
      </c>
      <c r="X67">
        <f>HYPERLINK("https://klasma.github.io/Logging_0880/kartor/A 31695-2023 karta.png", "A 31695-2023")</f>
        <v/>
      </c>
      <c r="Y67">
        <f>HYPERLINK("https://klasma.github.io/Logging_0880/kartor_geotiff/A 31695-2023 georefererad karta.tif", "A 31695-2023")</f>
        <v/>
      </c>
      <c r="AA67">
        <f>HYPERLINK("https://klasma.github.io/Logging_0880/klagomål/A 31695-2023 FSC-klagomål.docx", "A 31695-2023")</f>
        <v/>
      </c>
      <c r="AB67">
        <f>HYPERLINK("https://klasma.github.io/Logging_0880/klagomålsmail/A 31695-2023 FSC-klagomål mail.docx", "A 31695-2023")</f>
        <v/>
      </c>
      <c r="AC67">
        <f>HYPERLINK("https://klasma.github.io/Logging_0880/tillsyn/A 31695-2023 tillsynsbegäran.docx", "A 31695-2023")</f>
        <v/>
      </c>
      <c r="AD67">
        <f>HYPERLINK("https://klasma.github.io/Logging_0880/tillsynsmail/A 31695-2023 tillsynsbegäran mail.docx", "A 31695-2023")</f>
        <v/>
      </c>
    </row>
    <row r="68" ht="15" customHeight="1">
      <c r="A68" t="inlineStr">
        <is>
          <t>A 5211-2026</t>
        </is>
      </c>
      <c r="B68" t="inlineStr">
        <is>
          <t>avverkningsanmälan</t>
        </is>
      </c>
      <c r="C68" t="inlineStr">
        <is>
          <t>Föryngringsavverkning</t>
        </is>
      </c>
      <c r="D68" s="1" t="n">
        <v>46049</v>
      </c>
      <c r="E68" s="1" t="n">
        <v>46272</v>
      </c>
      <c r="F68" t="inlineStr">
        <is>
          <t>KALMAR LÄN</t>
        </is>
      </c>
      <c r="G68" t="inlineStr">
        <is>
          <t>KALMAR</t>
        </is>
      </c>
      <c r="I68" t="n">
        <v>1.8</v>
      </c>
      <c r="J68" t="n">
        <v>2</v>
      </c>
      <c r="K68" t="n">
        <v>0</v>
      </c>
      <c r="L68" t="n">
        <v>0</v>
      </c>
      <c r="M68" t="n">
        <v>1</v>
      </c>
      <c r="N68" t="n">
        <v>0</v>
      </c>
      <c r="O68" t="n">
        <v>0</v>
      </c>
      <c r="P68" t="n">
        <v>0</v>
      </c>
      <c r="Q68" t="n">
        <v>1</v>
      </c>
      <c r="R68" t="n">
        <v>1</v>
      </c>
      <c r="S68" t="n">
        <v>2</v>
      </c>
      <c r="T68" t="n">
        <v>2</v>
      </c>
      <c r="U68" t="n">
        <v>1</v>
      </c>
      <c r="V68" s="2" t="inlineStr">
        <is>
          <t>Sandödla
Grönsiska</t>
        </is>
      </c>
      <c r="W68">
        <f>HYPERLINK("https://klasma.github.io/Logging_0880/artfynd/A 5211-2026 artfynd.xlsx", "A 5211-2026")</f>
        <v/>
      </c>
      <c r="X68">
        <f>HYPERLINK("https://klasma.github.io/Logging_0880/kartor/A 5211-2026 karta.png", "A 5211-2026")</f>
        <v/>
      </c>
      <c r="Y68">
        <f>HYPERLINK("https://klasma.github.io/Logging_0880/kartor_geotiff/A 5211-2026 georefererad karta.tif", "A 5211-2026")</f>
        <v/>
      </c>
      <c r="AA68">
        <f>HYPERLINK("https://klasma.github.io/Logging_0880/klagomål/A 5211-2026 FSC-klagomål.docx", "A 5211-2026")</f>
        <v/>
      </c>
      <c r="AB68">
        <f>HYPERLINK("https://klasma.github.io/Logging_0880/klagomålsmail/A 5211-2026 FSC-klagomål mail.docx", "A 5211-2026")</f>
        <v/>
      </c>
      <c r="AC68">
        <f>HYPERLINK("https://klasma.github.io/Logging_0880/tillsyn/A 5211-2026 tillsynsbegäran.docx", "A 5211-2026")</f>
        <v/>
      </c>
      <c r="AD68">
        <f>HYPERLINK("https://klasma.github.io/Logging_0880/tillsynsmail/A 5211-2026 tillsynsbegäran mail.docx", "A 5211-2026")</f>
        <v/>
      </c>
    </row>
    <row r="69" ht="15" customHeight="1">
      <c r="A69" t="inlineStr">
        <is>
          <t>A 2733-2024</t>
        </is>
      </c>
      <c r="B69" t="inlineStr">
        <is>
          <t>avverkningsanmälan</t>
        </is>
      </c>
      <c r="C69" t="inlineStr">
        <is>
          <t>Föryngringsavverkning</t>
        </is>
      </c>
      <c r="D69" s="1" t="n">
        <v>45314</v>
      </c>
      <c r="E69" s="1" t="n">
        <v>46272</v>
      </c>
      <c r="F69" t="inlineStr">
        <is>
          <t>KALMAR LÄN</t>
        </is>
      </c>
      <c r="G69" t="inlineStr">
        <is>
          <t>KALMAR</t>
        </is>
      </c>
      <c r="I69" t="n">
        <v>2.5</v>
      </c>
      <c r="J69" t="n">
        <v>1</v>
      </c>
      <c r="K69" t="n">
        <v>1</v>
      </c>
      <c r="L69" t="n">
        <v>1</v>
      </c>
      <c r="M69" t="n">
        <v>0</v>
      </c>
      <c r="N69" t="n">
        <v>0</v>
      </c>
      <c r="O69" t="n">
        <v>0</v>
      </c>
      <c r="P69" t="n">
        <v>0</v>
      </c>
      <c r="Q69" t="n">
        <v>1</v>
      </c>
      <c r="R69" t="n">
        <v>0</v>
      </c>
      <c r="S69" t="n">
        <v>2</v>
      </c>
      <c r="T69" t="n">
        <v>2</v>
      </c>
      <c r="U69" t="n">
        <v>2</v>
      </c>
      <c r="V69" s="2" t="inlineStr">
        <is>
          <t>Tallticka
Ekoxe</t>
        </is>
      </c>
      <c r="W69">
        <f>HYPERLINK("https://klasma.github.io/Logging_0880/artfynd/A 2733-2024 artfynd.xlsx", "A 2733-2024")</f>
        <v/>
      </c>
      <c r="X69">
        <f>HYPERLINK("https://klasma.github.io/Logging_0880/kartor/A 2733-2024 karta.png", "A 2733-2024")</f>
        <v/>
      </c>
      <c r="Y69">
        <f>HYPERLINK("https://klasma.github.io/Logging_0880/kartor_geotiff/A 2733-2024 georefererad karta.tif", "A 2733-2024")</f>
        <v/>
      </c>
      <c r="AA69">
        <f>HYPERLINK("https://klasma.github.io/Logging_0880/klagomål/A 2733-2024 FSC-klagomål.docx", "A 2733-2024")</f>
        <v/>
      </c>
      <c r="AB69">
        <f>HYPERLINK("https://klasma.github.io/Logging_0880/klagomålsmail/A 2733-2024 FSC-klagomål mail.docx", "A 2733-2024")</f>
        <v/>
      </c>
      <c r="AC69">
        <f>HYPERLINK("https://klasma.github.io/Logging_0880/tillsyn/A 2733-2024 tillsynsbegäran.docx", "A 2733-2024")</f>
        <v/>
      </c>
      <c r="AD69">
        <f>HYPERLINK("https://klasma.github.io/Logging_0880/tillsynsmail/A 2733-2024 tillsynsbegäran mail.docx", "A 2733-2024")</f>
        <v/>
      </c>
    </row>
    <row r="70" ht="15" customHeight="1">
      <c r="A70" t="inlineStr">
        <is>
          <t>A 65930-2021</t>
        </is>
      </c>
      <c r="B70" t="inlineStr">
        <is>
          <t>avverkningsanmälan</t>
        </is>
      </c>
      <c r="C70" t="inlineStr">
        <is>
          <t>Föryngringsavverkning</t>
        </is>
      </c>
      <c r="D70" s="1" t="n">
        <v>44517</v>
      </c>
      <c r="E70" s="1" t="n">
        <v>46272</v>
      </c>
      <c r="F70" t="inlineStr">
        <is>
          <t>KALMAR LÄN</t>
        </is>
      </c>
      <c r="G70" t="inlineStr">
        <is>
          <t>KALMAR</t>
        </is>
      </c>
      <c r="I70" t="n">
        <v>1</v>
      </c>
      <c r="J70" t="n">
        <v>2</v>
      </c>
      <c r="K70" t="n">
        <v>0</v>
      </c>
      <c r="L70" t="n">
        <v>1</v>
      </c>
      <c r="M70" t="n">
        <v>0</v>
      </c>
      <c r="N70" t="n">
        <v>0</v>
      </c>
      <c r="O70" t="n">
        <v>0</v>
      </c>
      <c r="P70" t="n">
        <v>0</v>
      </c>
      <c r="Q70" t="n">
        <v>1</v>
      </c>
      <c r="R70" t="n">
        <v>0</v>
      </c>
      <c r="S70" t="n">
        <v>2</v>
      </c>
      <c r="T70" t="n">
        <v>2</v>
      </c>
      <c r="U70" t="n">
        <v>2</v>
      </c>
      <c r="V70" s="2" t="inlineStr">
        <is>
          <t>Gulsparv
Spillkråka</t>
        </is>
      </c>
      <c r="W70">
        <f>HYPERLINK("https://klasma.github.io/Logging_0880/artfynd/A 65930-2021 artfynd.xlsx", "A 65930-2021")</f>
        <v/>
      </c>
      <c r="X70">
        <f>HYPERLINK("https://klasma.github.io/Logging_0880/kartor/A 65930-2021 karta.png", "A 65930-2021")</f>
        <v/>
      </c>
      <c r="Y70">
        <f>HYPERLINK("https://klasma.github.io/Logging_0880/kartor_geotiff/A 65930-2021 georefererad karta.tif", "A 65930-2021")</f>
        <v/>
      </c>
      <c r="AA70">
        <f>HYPERLINK("https://klasma.github.io/Logging_0880/klagomål/A 65930-2021 FSC-klagomål.docx", "A 65930-2021")</f>
        <v/>
      </c>
      <c r="AB70">
        <f>HYPERLINK("https://klasma.github.io/Logging_0880/klagomålsmail/A 65930-2021 FSC-klagomål mail.docx", "A 65930-2021")</f>
        <v/>
      </c>
      <c r="AC70">
        <f>HYPERLINK("https://klasma.github.io/Logging_0880/tillsyn/A 65930-2021 tillsynsbegäran.docx", "A 65930-2021")</f>
        <v/>
      </c>
      <c r="AD70">
        <f>HYPERLINK("https://klasma.github.io/Logging_0880/tillsynsmail/A 65930-2021 tillsynsbegäran mail.docx", "A 65930-2021")</f>
        <v/>
      </c>
      <c r="AE70">
        <f>HYPERLINK("https://klasma.github.io/Logging_0880/fåglar/A 65930-2021 prioriterade fågelarter.docx", "A 65930-2021")</f>
        <v/>
      </c>
    </row>
    <row r="71" ht="15" customHeight="1">
      <c r="A71" t="inlineStr">
        <is>
          <t>A 63620-2023</t>
        </is>
      </c>
      <c r="B71" t="inlineStr">
        <is>
          <t>avverkningsanmälan</t>
        </is>
      </c>
      <c r="C71" t="inlineStr">
        <is>
          <t>Föryngringsavverkning</t>
        </is>
      </c>
      <c r="D71" s="1" t="n">
        <v>45275</v>
      </c>
      <c r="E71" s="1" t="n">
        <v>46272</v>
      </c>
      <c r="F71" t="inlineStr">
        <is>
          <t>KALMAR LÄN</t>
        </is>
      </c>
      <c r="G71" t="inlineStr">
        <is>
          <t>KALMAR</t>
        </is>
      </c>
      <c r="H71" t="inlineStr">
        <is>
          <t>Kommuner</t>
        </is>
      </c>
      <c r="I71" t="n">
        <v>4.2</v>
      </c>
      <c r="J71" t="n">
        <v>1</v>
      </c>
      <c r="K71" t="n">
        <v>1</v>
      </c>
      <c r="L71" t="n">
        <v>1</v>
      </c>
      <c r="M71" t="n">
        <v>0</v>
      </c>
      <c r="N71" t="n">
        <v>0</v>
      </c>
      <c r="O71" t="n">
        <v>0</v>
      </c>
      <c r="P71" t="n">
        <v>0</v>
      </c>
      <c r="Q71" t="n">
        <v>1</v>
      </c>
      <c r="R71" t="n">
        <v>0</v>
      </c>
      <c r="S71" t="n">
        <v>2</v>
      </c>
      <c r="T71" t="n">
        <v>2</v>
      </c>
      <c r="U71" t="n">
        <v>0</v>
      </c>
      <c r="V71" s="2" t="inlineStr">
        <is>
          <t>Motaggsvamp
Ekoxe</t>
        </is>
      </c>
      <c r="W71">
        <f>HYPERLINK("https://klasma.github.io/Logging_0880/artfynd/A 63620-2023 artfynd.xlsx", "A 63620-2023")</f>
        <v/>
      </c>
      <c r="X71">
        <f>HYPERLINK("https://klasma.github.io/Logging_0880/kartor/A 63620-2023 karta.png", "A 63620-2023")</f>
        <v/>
      </c>
      <c r="Y71">
        <f>HYPERLINK("https://klasma.github.io/Logging_0880/kartor_geotiff/A 63620-2023 georefererad karta.tif", "A 63620-2023")</f>
        <v/>
      </c>
      <c r="AA71">
        <f>HYPERLINK("https://klasma.github.io/Logging_0880/klagomål/A 63620-2023 FSC-klagomål.docx", "A 63620-2023")</f>
        <v/>
      </c>
      <c r="AB71">
        <f>HYPERLINK("https://klasma.github.io/Logging_0880/klagomålsmail/A 63620-2023 FSC-klagomål mail.docx", "A 63620-2023")</f>
        <v/>
      </c>
      <c r="AC71">
        <f>HYPERLINK("https://klasma.github.io/Logging_0880/tillsyn/A 63620-2023 tillsynsbegäran.docx", "A 63620-2023")</f>
        <v/>
      </c>
      <c r="AD71">
        <f>HYPERLINK("https://klasma.github.io/Logging_0880/tillsynsmail/A 63620-2023 tillsynsbegäran mail.docx", "A 63620-2023")</f>
        <v/>
      </c>
    </row>
    <row r="72" ht="15" customHeight="1">
      <c r="A72" t="inlineStr">
        <is>
          <t>A 33036-2026</t>
        </is>
      </c>
      <c r="B72" t="inlineStr">
        <is>
          <t>avverkningsanmälan</t>
        </is>
      </c>
      <c r="C72" t="inlineStr">
        <is>
          <t>Avverkning för annat ändamål</t>
        </is>
      </c>
      <c r="D72" s="1" t="n">
        <v>46245</v>
      </c>
      <c r="E72" s="1" t="n">
        <v>46272</v>
      </c>
      <c r="F72" t="inlineStr">
        <is>
          <t>KALMAR LÄN</t>
        </is>
      </c>
      <c r="G72" t="inlineStr">
        <is>
          <t>KALMAR</t>
        </is>
      </c>
      <c r="I72" t="n">
        <v>0.7</v>
      </c>
      <c r="J72" t="n">
        <v>1</v>
      </c>
      <c r="K72" t="n">
        <v>0</v>
      </c>
      <c r="L72" t="n">
        <v>1</v>
      </c>
      <c r="M72" t="n">
        <v>1</v>
      </c>
      <c r="N72" t="n">
        <v>0</v>
      </c>
      <c r="O72" t="n">
        <v>0</v>
      </c>
      <c r="P72" t="n">
        <v>0</v>
      </c>
      <c r="Q72" t="n">
        <v>2</v>
      </c>
      <c r="R72" t="n">
        <v>1</v>
      </c>
      <c r="S72" t="n">
        <v>2</v>
      </c>
      <c r="T72" t="n">
        <v>2</v>
      </c>
      <c r="U72" t="n">
        <v>0</v>
      </c>
      <c r="V72" s="2" t="inlineStr">
        <is>
          <t>Hasselsnok
Iller</t>
        </is>
      </c>
      <c r="W72">
        <f>HYPERLINK("https://klasma.github.io/Logging_0880/artfynd/A 33036-2026 artfynd.xlsx", "A 33036-2026")</f>
        <v/>
      </c>
      <c r="X72">
        <f>HYPERLINK("https://klasma.github.io/Logging_0880/kartor/A 33036-2026 karta.png", "A 33036-2026")</f>
        <v/>
      </c>
      <c r="Y72">
        <f>HYPERLINK("https://klasma.github.io/Logging_0880/kartor_geotiff/A 33036-2026 georefererad karta.tif", "A 33036-2026")</f>
        <v/>
      </c>
      <c r="AA72">
        <f>HYPERLINK("https://klasma.github.io/Logging_0880/klagomål/A 33036-2026 FSC-klagomål.docx", "A 33036-2026")</f>
        <v/>
      </c>
      <c r="AB72">
        <f>HYPERLINK("https://klasma.github.io/Logging_0880/klagomålsmail/A 33036-2026 FSC-klagomål mail.docx", "A 33036-2026")</f>
        <v/>
      </c>
      <c r="AC72">
        <f>HYPERLINK("https://klasma.github.io/Logging_0880/tillsyn/A 33036-2026 tillsynsbegäran.docx", "A 33036-2026")</f>
        <v/>
      </c>
      <c r="AD72">
        <f>HYPERLINK("https://klasma.github.io/Logging_0880/tillsynsmail/A 33036-2026 tillsynsbegäran mail.docx", "A 33036-2026")</f>
        <v/>
      </c>
    </row>
    <row r="73" ht="15" customHeight="1">
      <c r="A73" t="inlineStr">
        <is>
          <t>A 41542-2022</t>
        </is>
      </c>
      <c r="B73" t="inlineStr">
        <is>
          <t>avverkningsanmälan</t>
        </is>
      </c>
      <c r="C73" t="inlineStr">
        <is>
          <t>Föryngringsavverkning</t>
        </is>
      </c>
      <c r="D73" s="1" t="n">
        <v>44827</v>
      </c>
      <c r="E73" s="1" t="n">
        <v>46272</v>
      </c>
      <c r="F73" t="inlineStr">
        <is>
          <t>KALMAR LÄN</t>
        </is>
      </c>
      <c r="G73" t="inlineStr">
        <is>
          <t>KALMAR</t>
        </is>
      </c>
      <c r="I73" t="n">
        <v>29</v>
      </c>
      <c r="J73" t="n">
        <v>2</v>
      </c>
      <c r="K73" t="n">
        <v>0</v>
      </c>
      <c r="L73" t="n">
        <v>0</v>
      </c>
      <c r="M73" t="n">
        <v>1</v>
      </c>
      <c r="N73" t="n">
        <v>0</v>
      </c>
      <c r="O73" t="n">
        <v>0</v>
      </c>
      <c r="P73" t="n">
        <v>0</v>
      </c>
      <c r="Q73" t="n">
        <v>1</v>
      </c>
      <c r="R73" t="n">
        <v>1</v>
      </c>
      <c r="S73" t="n">
        <v>2</v>
      </c>
      <c r="T73" t="n">
        <v>6</v>
      </c>
      <c r="U73" t="n">
        <v>1</v>
      </c>
      <c r="V73" s="2" t="inlineStr">
        <is>
          <t>Knärot
Långbensgroda</t>
        </is>
      </c>
      <c r="W73">
        <f>HYPERLINK("https://klasma.github.io/Logging_0880/artfynd/A 41542-2022 artfynd.xlsx", "A 41542-2022")</f>
        <v/>
      </c>
      <c r="X73">
        <f>HYPERLINK("https://klasma.github.io/Logging_0880/kartor/A 41542-2022 karta.png", "A 41542-2022")</f>
        <v/>
      </c>
      <c r="Y73">
        <f>HYPERLINK("https://klasma.github.io/Logging_0880/kartor_geotiff/A 41542-2022 georefererad karta.tif", "A 41542-2022")</f>
        <v/>
      </c>
      <c r="Z73">
        <f>HYPERLINK("https://klasma.github.io/Logging_0880/knärot/A 41542-2022 karta knärot.png", "A 41542-2022")</f>
        <v/>
      </c>
      <c r="AA73">
        <f>HYPERLINK("https://klasma.github.io/Logging_0880/klagomål/A 41542-2022 FSC-klagomål.docx", "A 41542-2022")</f>
        <v/>
      </c>
      <c r="AB73">
        <f>HYPERLINK("https://klasma.github.io/Logging_0880/klagomålsmail/A 41542-2022 FSC-klagomål mail.docx", "A 41542-2022")</f>
        <v/>
      </c>
      <c r="AC73">
        <f>HYPERLINK("https://klasma.github.io/Logging_0880/tillsyn/A 41542-2022 tillsynsbegäran.docx", "A 41542-2022")</f>
        <v/>
      </c>
      <c r="AD73">
        <f>HYPERLINK("https://klasma.github.io/Logging_0880/tillsynsmail/A 41542-2022 tillsynsbegäran mail.docx", "A 41542-2022")</f>
        <v/>
      </c>
    </row>
    <row r="74" ht="15" customHeight="1">
      <c r="A74" t="inlineStr">
        <is>
          <t>S 2534-2024</t>
        </is>
      </c>
      <c r="B74" t="inlineStr">
        <is>
          <t>samrådsanmälan</t>
        </is>
      </c>
      <c r="C74" t="inlineStr">
        <is>
          <t>Annan skogsbruksåtgärd</t>
        </is>
      </c>
      <c r="D74" s="1" t="n">
        <v>45475</v>
      </c>
      <c r="E74" s="1" t="n">
        <v>46272</v>
      </c>
      <c r="F74" t="inlineStr">
        <is>
          <t>KALMAR LÄN</t>
        </is>
      </c>
      <c r="G74" t="inlineStr">
        <is>
          <t>KALMAR</t>
        </is>
      </c>
      <c r="I74" t="n">
        <v>3.3</v>
      </c>
      <c r="J74" t="n">
        <v>0</v>
      </c>
      <c r="K74" t="n">
        <v>1</v>
      </c>
      <c r="L74" t="n">
        <v>1</v>
      </c>
      <c r="M74" t="n">
        <v>0</v>
      </c>
      <c r="N74" t="n">
        <v>0</v>
      </c>
      <c r="O74" t="n">
        <v>0</v>
      </c>
      <c r="P74" t="n">
        <v>0</v>
      </c>
      <c r="Q74" t="n">
        <v>1</v>
      </c>
      <c r="R74" t="n">
        <v>0</v>
      </c>
      <c r="S74" t="n">
        <v>2</v>
      </c>
      <c r="T74" t="n">
        <v>2</v>
      </c>
      <c r="U74" t="n">
        <v>0</v>
      </c>
      <c r="V74" s="2" t="inlineStr">
        <is>
          <t>Jungfrulin
Vitvaxing agg.</t>
        </is>
      </c>
      <c r="W74">
        <f>HYPERLINK("https://klasma.github.io/Logging_0880/artfynd/S 2534-2024 artfynd.xlsx", "S 2534-2024")</f>
        <v/>
      </c>
      <c r="X74">
        <f>HYPERLINK("https://klasma.github.io/Logging_0880/kartor/S 2534-2024 karta.png", "S 2534-2024")</f>
        <v/>
      </c>
      <c r="Y74">
        <f>HYPERLINK("https://klasma.github.io/Logging_0880/kartor_geotiff/S 2534-2024 georefererad karta.tif", "S 2534-2024")</f>
        <v/>
      </c>
      <c r="AA74">
        <f>HYPERLINK("https://klasma.github.io/Logging_0880/klagomål/S 2534-2024 FSC-klagomål.docx", "S 2534-2024")</f>
        <v/>
      </c>
      <c r="AB74">
        <f>HYPERLINK("https://klasma.github.io/Logging_0880/klagomålsmail/S 2534-2024 FSC-klagomål mail.docx", "S 2534-2024")</f>
        <v/>
      </c>
      <c r="AC74">
        <f>HYPERLINK("https://klasma.github.io/Logging_0880/tillsyn/S 2534-2024 tillsynsbegäran.docx", "S 2534-2024")</f>
        <v/>
      </c>
      <c r="AD74">
        <f>HYPERLINK("https://klasma.github.io/Logging_0880/tillsynsmail/S 2534-2024 tillsynsbegäran mail.docx", "S 2534-2024")</f>
        <v/>
      </c>
    </row>
    <row r="75" ht="15" customHeight="1">
      <c r="A75" t="inlineStr">
        <is>
          <t>S 2046-2024</t>
        </is>
      </c>
      <c r="B75" t="inlineStr">
        <is>
          <t>samrådsanmälan</t>
        </is>
      </c>
      <c r="C75" t="inlineStr">
        <is>
          <t>Askåterföring</t>
        </is>
      </c>
      <c r="D75" s="1" t="n">
        <v>45448</v>
      </c>
      <c r="E75" s="1" t="n">
        <v>46272</v>
      </c>
      <c r="F75" t="inlineStr">
        <is>
          <t>KALMAR LÄN</t>
        </is>
      </c>
      <c r="G75" t="inlineStr">
        <is>
          <t>KALMAR</t>
        </is>
      </c>
      <c r="I75" t="n">
        <v>20.7</v>
      </c>
      <c r="J75" t="n">
        <v>1</v>
      </c>
      <c r="K75" t="n">
        <v>0</v>
      </c>
      <c r="L75" t="n">
        <v>1</v>
      </c>
      <c r="M75" t="n">
        <v>0</v>
      </c>
      <c r="N75" t="n">
        <v>0</v>
      </c>
      <c r="O75" t="n">
        <v>0</v>
      </c>
      <c r="P75" t="n">
        <v>0</v>
      </c>
      <c r="Q75" t="n">
        <v>1</v>
      </c>
      <c r="R75" t="n">
        <v>0</v>
      </c>
      <c r="S75" t="n">
        <v>2</v>
      </c>
      <c r="T75" t="n">
        <v>2</v>
      </c>
      <c r="U75" t="n">
        <v>0</v>
      </c>
      <c r="V75" s="2" t="inlineStr">
        <is>
          <t>Hydrochus elongatus
Bred paljettdykare</t>
        </is>
      </c>
      <c r="W75">
        <f>HYPERLINK("https://klasma.github.io/Logging_0880/artfynd/S 2046-2024 artfynd.xlsx", "S 2046-2024")</f>
        <v/>
      </c>
      <c r="X75">
        <f>HYPERLINK("https://klasma.github.io/Logging_0880/kartor/S 2046-2024 karta.png", "S 2046-2024")</f>
        <v/>
      </c>
      <c r="Y75">
        <f>HYPERLINK("https://klasma.github.io/Logging_0880/kartor_geotiff/S 2046-2024 georefererad karta.tif", "S 2046-2024")</f>
        <v/>
      </c>
      <c r="AA75">
        <f>HYPERLINK("https://klasma.github.io/Logging_0880/klagomål/S 2046-2024 FSC-klagomål.docx", "S 2046-2024")</f>
        <v/>
      </c>
      <c r="AB75">
        <f>HYPERLINK("https://klasma.github.io/Logging_0880/klagomålsmail/S 2046-2024 FSC-klagomål mail.docx", "S 2046-2024")</f>
        <v/>
      </c>
      <c r="AC75">
        <f>HYPERLINK("https://klasma.github.io/Logging_0880/tillsyn/S 2046-2024 tillsynsbegäran.docx", "S 2046-2024")</f>
        <v/>
      </c>
      <c r="AD75">
        <f>HYPERLINK("https://klasma.github.io/Logging_0880/tillsynsmail/S 2046-2024 tillsynsbegäran mail.docx", "S 2046-2024")</f>
        <v/>
      </c>
    </row>
    <row r="76" ht="15" customHeight="1">
      <c r="A76" t="inlineStr">
        <is>
          <t>A 10392-2022</t>
        </is>
      </c>
      <c r="B76" t="inlineStr">
        <is>
          <t>avverkningsanmälan</t>
        </is>
      </c>
      <c r="C76" t="inlineStr">
        <is>
          <t>Föryngringsavverkning</t>
        </is>
      </c>
      <c r="D76" s="1" t="n">
        <v>44623</v>
      </c>
      <c r="E76" s="1" t="n">
        <v>46272</v>
      </c>
      <c r="F76" t="inlineStr">
        <is>
          <t>KALMAR LÄN</t>
        </is>
      </c>
      <c r="G76" t="inlineStr">
        <is>
          <t>KALMAR</t>
        </is>
      </c>
      <c r="I76" t="n">
        <v>2.9</v>
      </c>
      <c r="J76" t="n">
        <v>1</v>
      </c>
      <c r="K76" t="n">
        <v>0</v>
      </c>
      <c r="L76" t="n">
        <v>0</v>
      </c>
      <c r="M76" t="n">
        <v>0</v>
      </c>
      <c r="N76" t="n">
        <v>0</v>
      </c>
      <c r="O76" t="n">
        <v>0</v>
      </c>
      <c r="P76" t="n">
        <v>0</v>
      </c>
      <c r="Q76" t="n">
        <v>0</v>
      </c>
      <c r="R76" t="n">
        <v>0</v>
      </c>
      <c r="S76" t="n">
        <v>1</v>
      </c>
      <c r="T76" t="n">
        <v>1</v>
      </c>
      <c r="U76" t="n">
        <v>0</v>
      </c>
      <c r="V76" s="2" t="inlineStr">
        <is>
          <t>Långbensgroda</t>
        </is>
      </c>
      <c r="W76">
        <f>HYPERLINK("https://klasma.github.io/Logging_0880/artfynd/A 10392-2022 artfynd.xlsx", "A 10392-2022")</f>
        <v/>
      </c>
      <c r="X76">
        <f>HYPERLINK("https://klasma.github.io/Logging_0880/kartor/A 10392-2022 karta.png", "A 10392-2022")</f>
        <v/>
      </c>
      <c r="Y76">
        <f>HYPERLINK("https://klasma.github.io/Logging_0880/kartor_geotiff/A 10392-2022 georefererad karta.tif", "A 10392-2022")</f>
        <v/>
      </c>
      <c r="AA76">
        <f>HYPERLINK("https://klasma.github.io/Logging_0880/klagomål/A 10392-2022 FSC-klagomål.docx", "A 10392-2022")</f>
        <v/>
      </c>
      <c r="AB76">
        <f>HYPERLINK("https://klasma.github.io/Logging_0880/klagomålsmail/A 10392-2022 FSC-klagomål mail.docx", "A 10392-2022")</f>
        <v/>
      </c>
      <c r="AC76">
        <f>HYPERLINK("https://klasma.github.io/Logging_0880/tillsyn/A 10392-2022 tillsynsbegäran.docx", "A 10392-2022")</f>
        <v/>
      </c>
      <c r="AD76">
        <f>HYPERLINK("https://klasma.github.io/Logging_0880/tillsynsmail/A 10392-2022 tillsynsbegäran mail.docx", "A 10392-2022")</f>
        <v/>
      </c>
    </row>
    <row r="77" ht="15" customHeight="1">
      <c r="A77" t="inlineStr">
        <is>
          <t>A 27054-2022</t>
        </is>
      </c>
      <c r="B77" t="inlineStr">
        <is>
          <t>avverkningsanmälan</t>
        </is>
      </c>
      <c r="C77" t="inlineStr">
        <is>
          <t>Föryngringsavverkning</t>
        </is>
      </c>
      <c r="D77" s="1" t="n">
        <v>44740</v>
      </c>
      <c r="E77" s="1" t="n">
        <v>46272</v>
      </c>
      <c r="F77" t="inlineStr">
        <is>
          <t>KALMAR LÄN</t>
        </is>
      </c>
      <c r="G77" t="inlineStr">
        <is>
          <t>KALMAR</t>
        </is>
      </c>
      <c r="I77" t="n">
        <v>1.1</v>
      </c>
      <c r="J77" t="n">
        <v>1</v>
      </c>
      <c r="K77" t="n">
        <v>0</v>
      </c>
      <c r="L77" t="n">
        <v>0</v>
      </c>
      <c r="M77" t="n">
        <v>0</v>
      </c>
      <c r="N77" t="n">
        <v>0</v>
      </c>
      <c r="O77" t="n">
        <v>0</v>
      </c>
      <c r="P77" t="n">
        <v>0</v>
      </c>
      <c r="Q77" t="n">
        <v>0</v>
      </c>
      <c r="R77" t="n">
        <v>0</v>
      </c>
      <c r="S77" t="n">
        <v>1</v>
      </c>
      <c r="T77" t="n">
        <v>1</v>
      </c>
      <c r="U77" t="n">
        <v>1</v>
      </c>
      <c r="V77" s="2" t="inlineStr">
        <is>
          <t>Blåsippa</t>
        </is>
      </c>
      <c r="W77">
        <f>HYPERLINK("https://klasma.github.io/Logging_0880/artfynd/A 27054-2022 artfynd.xlsx", "A 27054-2022")</f>
        <v/>
      </c>
      <c r="X77">
        <f>HYPERLINK("https://klasma.github.io/Logging_0880/kartor/A 27054-2022 karta.png", "A 27054-2022")</f>
        <v/>
      </c>
      <c r="Y77">
        <f>HYPERLINK("https://klasma.github.io/Logging_0880/kartor_geotiff/A 27054-2022 georefererad karta.tif", "A 27054-2022")</f>
        <v/>
      </c>
      <c r="AA77">
        <f>HYPERLINK("https://klasma.github.io/Logging_0880/klagomål/A 27054-2022 FSC-klagomål.docx", "A 27054-2022")</f>
        <v/>
      </c>
      <c r="AB77">
        <f>HYPERLINK("https://klasma.github.io/Logging_0880/klagomålsmail/A 27054-2022 FSC-klagomål mail.docx", "A 27054-2022")</f>
        <v/>
      </c>
      <c r="AC77">
        <f>HYPERLINK("https://klasma.github.io/Logging_0880/tillsyn/A 27054-2022 tillsynsbegäran.docx", "A 27054-2022")</f>
        <v/>
      </c>
      <c r="AD77">
        <f>HYPERLINK("https://klasma.github.io/Logging_0880/tillsynsmail/A 27054-2022 tillsynsbegäran mail.docx", "A 27054-2022")</f>
        <v/>
      </c>
    </row>
    <row r="78" ht="15" customHeight="1">
      <c r="A78" t="inlineStr">
        <is>
          <t>A 57212-2022</t>
        </is>
      </c>
      <c r="B78" t="inlineStr">
        <is>
          <t>avverkningsanmälan</t>
        </is>
      </c>
      <c r="C78" t="inlineStr">
        <is>
          <t>Föryngringsavverkning</t>
        </is>
      </c>
      <c r="D78" s="1" t="n">
        <v>44895</v>
      </c>
      <c r="E78" s="1" t="n">
        <v>46272</v>
      </c>
      <c r="F78" t="inlineStr">
        <is>
          <t>KALMAR LÄN</t>
        </is>
      </c>
      <c r="G78" t="inlineStr">
        <is>
          <t>KALMAR</t>
        </is>
      </c>
      <c r="I78" t="n">
        <v>1.7</v>
      </c>
      <c r="J78" t="n">
        <v>0</v>
      </c>
      <c r="K78" t="n">
        <v>1</v>
      </c>
      <c r="L78" t="n">
        <v>0</v>
      </c>
      <c r="M78" t="n">
        <v>0</v>
      </c>
      <c r="N78" t="n">
        <v>0</v>
      </c>
      <c r="O78" t="n">
        <v>0</v>
      </c>
      <c r="P78" t="n">
        <v>0</v>
      </c>
      <c r="Q78" t="n">
        <v>0</v>
      </c>
      <c r="R78" t="n">
        <v>0</v>
      </c>
      <c r="S78" t="n">
        <v>1</v>
      </c>
      <c r="T78" t="n">
        <v>1</v>
      </c>
      <c r="U78" t="n">
        <v>1</v>
      </c>
      <c r="V78" s="2" t="inlineStr">
        <is>
          <t>Kornknutmossa</t>
        </is>
      </c>
      <c r="W78">
        <f>HYPERLINK("https://klasma.github.io/Logging_0880/artfynd/A 57212-2022 artfynd.xlsx", "A 57212-2022")</f>
        <v/>
      </c>
      <c r="X78">
        <f>HYPERLINK("https://klasma.github.io/Logging_0880/kartor/A 57212-2022 karta.png", "A 57212-2022")</f>
        <v/>
      </c>
      <c r="Y78">
        <f>HYPERLINK("https://klasma.github.io/Logging_0880/kartor_geotiff/A 57212-2022 georefererad karta.tif", "A 57212-2022")</f>
        <v/>
      </c>
      <c r="AA78">
        <f>HYPERLINK("https://klasma.github.io/Logging_0880/klagomål/A 57212-2022 FSC-klagomål.docx", "A 57212-2022")</f>
        <v/>
      </c>
      <c r="AB78">
        <f>HYPERLINK("https://klasma.github.io/Logging_0880/klagomålsmail/A 57212-2022 FSC-klagomål mail.docx", "A 57212-2022")</f>
        <v/>
      </c>
      <c r="AC78">
        <f>HYPERLINK("https://klasma.github.io/Logging_0880/tillsyn/A 57212-2022 tillsynsbegäran.docx", "A 57212-2022")</f>
        <v/>
      </c>
      <c r="AD78">
        <f>HYPERLINK("https://klasma.github.io/Logging_0880/tillsynsmail/A 57212-2022 tillsynsbegäran mail.docx", "A 57212-2022")</f>
        <v/>
      </c>
    </row>
    <row r="79" ht="15" customHeight="1">
      <c r="A79" t="inlineStr">
        <is>
          <t>A 52670-2021</t>
        </is>
      </c>
      <c r="B79" t="inlineStr">
        <is>
          <t>avverkningsanmälan</t>
        </is>
      </c>
      <c r="C79" t="inlineStr">
        <is>
          <t>Föryngringsavverkning</t>
        </is>
      </c>
      <c r="D79" s="1" t="n">
        <v>44466</v>
      </c>
      <c r="E79" s="1" t="n">
        <v>46272</v>
      </c>
      <c r="F79" t="inlineStr">
        <is>
          <t>KALMAR LÄN</t>
        </is>
      </c>
      <c r="G79" t="inlineStr">
        <is>
          <t>KALMAR</t>
        </is>
      </c>
      <c r="I79" t="n">
        <v>5.7</v>
      </c>
      <c r="J79" t="n">
        <v>1</v>
      </c>
      <c r="K79" t="n">
        <v>0</v>
      </c>
      <c r="L79" t="n">
        <v>0</v>
      </c>
      <c r="M79" t="n">
        <v>1</v>
      </c>
      <c r="N79" t="n">
        <v>0</v>
      </c>
      <c r="O79" t="n">
        <v>0</v>
      </c>
      <c r="P79" t="n">
        <v>0</v>
      </c>
      <c r="Q79" t="n">
        <v>1</v>
      </c>
      <c r="R79" t="n">
        <v>1</v>
      </c>
      <c r="S79" t="n">
        <v>1</v>
      </c>
      <c r="T79" t="n">
        <v>1</v>
      </c>
      <c r="U79" t="n">
        <v>1</v>
      </c>
      <c r="V79" s="2" t="inlineStr">
        <is>
          <t>Knärot</t>
        </is>
      </c>
      <c r="W79">
        <f>HYPERLINK("https://klasma.github.io/Logging_0880/artfynd/A 52670-2021 artfynd.xlsx", "A 52670-2021")</f>
        <v/>
      </c>
      <c r="X79">
        <f>HYPERLINK("https://klasma.github.io/Logging_0880/kartor/A 52670-2021 karta.png", "A 52670-2021")</f>
        <v/>
      </c>
      <c r="Y79">
        <f>HYPERLINK("https://klasma.github.io/Logging_0880/kartor_geotiff/A 52670-2021 georefererad karta.tif", "A 52670-2021")</f>
        <v/>
      </c>
      <c r="Z79">
        <f>HYPERLINK("https://klasma.github.io/Logging_0880/knärot/A 52670-2021 karta knärot.png", "A 52670-2021")</f>
        <v/>
      </c>
      <c r="AA79">
        <f>HYPERLINK("https://klasma.github.io/Logging_0880/klagomål/A 52670-2021 FSC-klagomål.docx", "A 52670-2021")</f>
        <v/>
      </c>
      <c r="AB79">
        <f>HYPERLINK("https://klasma.github.io/Logging_0880/klagomålsmail/A 52670-2021 FSC-klagomål mail.docx", "A 52670-2021")</f>
        <v/>
      </c>
      <c r="AC79">
        <f>HYPERLINK("https://klasma.github.io/Logging_0880/tillsyn/A 52670-2021 tillsynsbegäran.docx", "A 52670-2021")</f>
        <v/>
      </c>
      <c r="AD79">
        <f>HYPERLINK("https://klasma.github.io/Logging_0880/tillsynsmail/A 52670-2021 tillsynsbegäran mail.docx", "A 52670-2021")</f>
        <v/>
      </c>
    </row>
    <row r="80" ht="15" customHeight="1">
      <c r="A80" t="inlineStr">
        <is>
          <t>A 1929-2022</t>
        </is>
      </c>
      <c r="B80" t="inlineStr">
        <is>
          <t>avverkningsanmälan</t>
        </is>
      </c>
      <c r="C80" t="inlineStr">
        <is>
          <t>Föryngringsavverkning</t>
        </is>
      </c>
      <c r="D80" s="1" t="n">
        <v>44575</v>
      </c>
      <c r="E80" s="1" t="n">
        <v>46272</v>
      </c>
      <c r="F80" t="inlineStr">
        <is>
          <t>KALMAR LÄN</t>
        </is>
      </c>
      <c r="G80" t="inlineStr">
        <is>
          <t>KALMAR</t>
        </is>
      </c>
      <c r="I80" t="n">
        <v>3.3</v>
      </c>
      <c r="J80" t="n">
        <v>1</v>
      </c>
      <c r="K80" t="n">
        <v>0</v>
      </c>
      <c r="L80" t="n">
        <v>0</v>
      </c>
      <c r="M80" t="n">
        <v>1</v>
      </c>
      <c r="N80" t="n">
        <v>0</v>
      </c>
      <c r="O80" t="n">
        <v>0</v>
      </c>
      <c r="P80" t="n">
        <v>0</v>
      </c>
      <c r="Q80" t="n">
        <v>1</v>
      </c>
      <c r="R80" t="n">
        <v>1</v>
      </c>
      <c r="S80" t="n">
        <v>1</v>
      </c>
      <c r="T80" t="n">
        <v>1</v>
      </c>
      <c r="U80" t="n">
        <v>1</v>
      </c>
      <c r="V80" s="2" t="inlineStr">
        <is>
          <t>Knärot</t>
        </is>
      </c>
      <c r="W80">
        <f>HYPERLINK("https://klasma.github.io/Logging_0880/artfynd/A 1929-2022 artfynd.xlsx", "A 1929-2022")</f>
        <v/>
      </c>
      <c r="X80">
        <f>HYPERLINK("https://klasma.github.io/Logging_0880/kartor/A 1929-2022 karta.png", "A 1929-2022")</f>
        <v/>
      </c>
      <c r="Y80">
        <f>HYPERLINK("https://klasma.github.io/Logging_0880/kartor_geotiff/A 1929-2022 georefererad karta.tif", "A 1929-2022")</f>
        <v/>
      </c>
      <c r="Z80">
        <f>HYPERLINK("https://klasma.github.io/Logging_0880/knärot/A 1929-2022 karta knärot.png", "A 1929-2022")</f>
        <v/>
      </c>
      <c r="AA80">
        <f>HYPERLINK("https://klasma.github.io/Logging_0880/klagomål/A 1929-2022 FSC-klagomål.docx", "A 1929-2022")</f>
        <v/>
      </c>
      <c r="AB80">
        <f>HYPERLINK("https://klasma.github.io/Logging_0880/klagomålsmail/A 1929-2022 FSC-klagomål mail.docx", "A 1929-2022")</f>
        <v/>
      </c>
      <c r="AC80">
        <f>HYPERLINK("https://klasma.github.io/Logging_0880/tillsyn/A 1929-2022 tillsynsbegäran.docx", "A 1929-2022")</f>
        <v/>
      </c>
      <c r="AD80">
        <f>HYPERLINK("https://klasma.github.io/Logging_0880/tillsynsmail/A 1929-2022 tillsynsbegäran mail.docx", "A 1929-2022")</f>
        <v/>
      </c>
    </row>
    <row r="81" ht="15" customHeight="1">
      <c r="A81" t="inlineStr">
        <is>
          <t>A 44747-2024</t>
        </is>
      </c>
      <c r="B81" t="inlineStr">
        <is>
          <t>avverkningsanmälan</t>
        </is>
      </c>
      <c r="C81" t="inlineStr">
        <is>
          <t>Avverkning för att bevara och utveckla /försöksver</t>
        </is>
      </c>
      <c r="D81" s="1" t="n">
        <v>45574</v>
      </c>
      <c r="E81" s="1" t="n">
        <v>46272</v>
      </c>
      <c r="F81" t="inlineStr">
        <is>
          <t>KALMAR LÄN</t>
        </is>
      </c>
      <c r="G81" t="inlineStr">
        <is>
          <t>KALMAR</t>
        </is>
      </c>
      <c r="H81" t="inlineStr">
        <is>
          <t>Kommuner</t>
        </is>
      </c>
      <c r="I81" t="n">
        <v>1.7</v>
      </c>
      <c r="J81" t="n">
        <v>0</v>
      </c>
      <c r="K81" t="n">
        <v>0</v>
      </c>
      <c r="L81" t="n">
        <v>0</v>
      </c>
      <c r="M81" t="n">
        <v>1</v>
      </c>
      <c r="N81" t="n">
        <v>0</v>
      </c>
      <c r="O81" t="n">
        <v>0</v>
      </c>
      <c r="P81" t="n">
        <v>0</v>
      </c>
      <c r="Q81" t="n">
        <v>1</v>
      </c>
      <c r="R81" t="n">
        <v>1</v>
      </c>
      <c r="S81" t="n">
        <v>1</v>
      </c>
      <c r="T81" t="n">
        <v>1</v>
      </c>
      <c r="U81" t="n">
        <v>1</v>
      </c>
      <c r="V81" s="2" t="inlineStr">
        <is>
          <t>Lungrot</t>
        </is>
      </c>
      <c r="W81">
        <f>HYPERLINK("https://klasma.github.io/Logging_0880/artfynd/A 44747-2024 artfynd.xlsx", "A 44747-2024")</f>
        <v/>
      </c>
      <c r="X81">
        <f>HYPERLINK("https://klasma.github.io/Logging_0880/kartor/A 44747-2024 karta.png", "A 44747-2024")</f>
        <v/>
      </c>
      <c r="Y81">
        <f>HYPERLINK("https://klasma.github.io/Logging_0880/kartor_geotiff/A 44747-2024 georefererad karta.tif", "A 44747-2024")</f>
        <v/>
      </c>
      <c r="AA81">
        <f>HYPERLINK("https://klasma.github.io/Logging_0880/klagomål/A 44747-2024 FSC-klagomål.docx", "A 44747-2024")</f>
        <v/>
      </c>
      <c r="AB81">
        <f>HYPERLINK("https://klasma.github.io/Logging_0880/klagomålsmail/A 44747-2024 FSC-klagomål mail.docx", "A 44747-2024")</f>
        <v/>
      </c>
      <c r="AC81">
        <f>HYPERLINK("https://klasma.github.io/Logging_0880/tillsyn/A 44747-2024 tillsynsbegäran.docx", "A 44747-2024")</f>
        <v/>
      </c>
      <c r="AD81">
        <f>HYPERLINK("https://klasma.github.io/Logging_0880/tillsynsmail/A 44747-2024 tillsynsbegäran mail.docx", "A 44747-2024")</f>
        <v/>
      </c>
    </row>
    <row r="82" ht="15" customHeight="1">
      <c r="A82" t="inlineStr">
        <is>
          <t>A 61401-2023</t>
        </is>
      </c>
      <c r="B82" t="inlineStr">
        <is>
          <t>avverkningsanmälan</t>
        </is>
      </c>
      <c r="C82" t="inlineStr">
        <is>
          <t>Föryngringsavverkning</t>
        </is>
      </c>
      <c r="D82" s="1" t="n">
        <v>45264</v>
      </c>
      <c r="E82" s="1" t="n">
        <v>46272</v>
      </c>
      <c r="F82" t="inlineStr">
        <is>
          <t>KALMAR LÄN</t>
        </is>
      </c>
      <c r="G82" t="inlineStr">
        <is>
          <t>KALMAR</t>
        </is>
      </c>
      <c r="I82" t="n">
        <v>1.9</v>
      </c>
      <c r="J82" t="n">
        <v>1</v>
      </c>
      <c r="K82" t="n">
        <v>0</v>
      </c>
      <c r="L82" t="n">
        <v>0</v>
      </c>
      <c r="M82" t="n">
        <v>1</v>
      </c>
      <c r="N82" t="n">
        <v>0</v>
      </c>
      <c r="O82" t="n">
        <v>0</v>
      </c>
      <c r="P82" t="n">
        <v>0</v>
      </c>
      <c r="Q82" t="n">
        <v>1</v>
      </c>
      <c r="R82" t="n">
        <v>1</v>
      </c>
      <c r="S82" t="n">
        <v>1</v>
      </c>
      <c r="T82" t="n">
        <v>3</v>
      </c>
      <c r="U82" t="n">
        <v>0</v>
      </c>
      <c r="V82" s="2" t="inlineStr">
        <is>
          <t>Knärot</t>
        </is>
      </c>
      <c r="W82">
        <f>HYPERLINK("https://klasma.github.io/Logging_0880/artfynd/A 61401-2023 artfynd.xlsx", "A 61401-2023")</f>
        <v/>
      </c>
      <c r="X82">
        <f>HYPERLINK("https://klasma.github.io/Logging_0880/kartor/A 61401-2023 karta.png", "A 61401-2023")</f>
        <v/>
      </c>
      <c r="Y82">
        <f>HYPERLINK("https://klasma.github.io/Logging_0880/kartor_geotiff/A 61401-2023 georefererad karta.tif", "A 61401-2023")</f>
        <v/>
      </c>
      <c r="Z82">
        <f>HYPERLINK("https://klasma.github.io/Logging_0880/knärot/A 61401-2023 karta knärot.png", "A 61401-2023")</f>
        <v/>
      </c>
      <c r="AA82">
        <f>HYPERLINK("https://klasma.github.io/Logging_0880/klagomål/A 61401-2023 FSC-klagomål.docx", "A 61401-2023")</f>
        <v/>
      </c>
      <c r="AB82">
        <f>HYPERLINK("https://klasma.github.io/Logging_0880/klagomålsmail/A 61401-2023 FSC-klagomål mail.docx", "A 61401-2023")</f>
        <v/>
      </c>
      <c r="AC82">
        <f>HYPERLINK("https://klasma.github.io/Logging_0880/tillsyn/A 61401-2023 tillsynsbegäran.docx", "A 61401-2023")</f>
        <v/>
      </c>
      <c r="AD82">
        <f>HYPERLINK("https://klasma.github.io/Logging_0880/tillsynsmail/A 61401-2023 tillsynsbegäran mail.docx", "A 61401-2023")</f>
        <v/>
      </c>
    </row>
    <row r="83" ht="15" customHeight="1">
      <c r="A83" t="inlineStr">
        <is>
          <t>A 38729-2023</t>
        </is>
      </c>
      <c r="B83" t="inlineStr">
        <is>
          <t>avverkningsanmälan</t>
        </is>
      </c>
      <c r="C83" t="inlineStr">
        <is>
          <t>Föryngringsavverkning</t>
        </is>
      </c>
      <c r="D83" s="1" t="n">
        <v>45163</v>
      </c>
      <c r="E83" s="1" t="n">
        <v>46272</v>
      </c>
      <c r="F83" t="inlineStr">
        <is>
          <t>KALMAR LÄN</t>
        </is>
      </c>
      <c r="G83" t="inlineStr">
        <is>
          <t>KALMAR</t>
        </is>
      </c>
      <c r="I83" t="n">
        <v>1</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HYPERLINK("https://klasma.github.io/Logging_0880/artfynd/A 38729-2023 artfynd.xlsx", "A 38729-2023")</f>
        <v/>
      </c>
      <c r="X83">
        <f>HYPERLINK("https://klasma.github.io/Logging_0880/kartor/A 38729-2023 karta.png", "A 38729-2023")</f>
        <v/>
      </c>
      <c r="Y83">
        <f>HYPERLINK("https://klasma.github.io/Logging_0880/kartor_geotiff/A 38729-2023 georefererad karta.tif", "A 38729-2023")</f>
        <v/>
      </c>
      <c r="Z83">
        <f>HYPERLINK("https://klasma.github.io/Logging_0880/knärot/A 38729-2023 karta knärot.png", "A 38729-2023")</f>
        <v/>
      </c>
      <c r="AA83">
        <f>HYPERLINK("https://klasma.github.io/Logging_0880/klagomål/A 38729-2023 FSC-klagomål.docx", "A 38729-2023")</f>
        <v/>
      </c>
      <c r="AB83">
        <f>HYPERLINK("https://klasma.github.io/Logging_0880/klagomålsmail/A 38729-2023 FSC-klagomål mail.docx", "A 38729-2023")</f>
        <v/>
      </c>
      <c r="AC83">
        <f>HYPERLINK("https://klasma.github.io/Logging_0880/tillsyn/A 38729-2023 tillsynsbegäran.docx", "A 38729-2023")</f>
        <v/>
      </c>
      <c r="AD83">
        <f>HYPERLINK("https://klasma.github.io/Logging_0880/tillsynsmail/A 38729-2023 tillsynsbegäran mail.docx", "A 38729-2023")</f>
        <v/>
      </c>
    </row>
    <row r="84" ht="15" customHeight="1">
      <c r="A84" t="inlineStr">
        <is>
          <t>A 25202-2023</t>
        </is>
      </c>
      <c r="B84" t="inlineStr">
        <is>
          <t>avverkningsanmälan</t>
        </is>
      </c>
      <c r="C84" t="inlineStr">
        <is>
          <t>Föryngringsavverkning</t>
        </is>
      </c>
      <c r="D84" s="1" t="n">
        <v>45086</v>
      </c>
      <c r="E84" s="1" t="n">
        <v>46272</v>
      </c>
      <c r="F84" t="inlineStr">
        <is>
          <t>KALMAR LÄN</t>
        </is>
      </c>
      <c r="G84" t="inlineStr">
        <is>
          <t>KALMAR</t>
        </is>
      </c>
      <c r="I84" t="n">
        <v>1.1</v>
      </c>
      <c r="J84" t="n">
        <v>1</v>
      </c>
      <c r="K84" t="n">
        <v>0</v>
      </c>
      <c r="L84" t="n">
        <v>0</v>
      </c>
      <c r="M84" t="n">
        <v>0</v>
      </c>
      <c r="N84" t="n">
        <v>0</v>
      </c>
      <c r="O84" t="n">
        <v>0</v>
      </c>
      <c r="P84" t="n">
        <v>0</v>
      </c>
      <c r="Q84" t="n">
        <v>0</v>
      </c>
      <c r="R84" t="n">
        <v>0</v>
      </c>
      <c r="S84" t="n">
        <v>1</v>
      </c>
      <c r="T84" t="n">
        <v>1</v>
      </c>
      <c r="U84" t="n">
        <v>0</v>
      </c>
      <c r="V84" s="2" t="inlineStr">
        <is>
          <t>Nattviol</t>
        </is>
      </c>
      <c r="W84">
        <f>HYPERLINK("https://klasma.github.io/Logging_0880/artfynd/A 25202-2023 artfynd.xlsx", "A 25202-2023")</f>
        <v/>
      </c>
      <c r="X84">
        <f>HYPERLINK("https://klasma.github.io/Logging_0880/kartor/A 25202-2023 karta.png", "A 25202-2023")</f>
        <v/>
      </c>
      <c r="Y84">
        <f>HYPERLINK("https://klasma.github.io/Logging_0880/kartor_geotiff/A 25202-2023 georefererad karta.tif", "A 25202-2023")</f>
        <v/>
      </c>
      <c r="AA84">
        <f>HYPERLINK("https://klasma.github.io/Logging_0880/klagomål/A 25202-2023 FSC-klagomål.docx", "A 25202-2023")</f>
        <v/>
      </c>
      <c r="AB84">
        <f>HYPERLINK("https://klasma.github.io/Logging_0880/klagomålsmail/A 25202-2023 FSC-klagomål mail.docx", "A 25202-2023")</f>
        <v/>
      </c>
      <c r="AC84">
        <f>HYPERLINK("https://klasma.github.io/Logging_0880/tillsyn/A 25202-2023 tillsynsbegäran.docx", "A 25202-2023")</f>
        <v/>
      </c>
      <c r="AD84">
        <f>HYPERLINK("https://klasma.github.io/Logging_0880/tillsynsmail/A 25202-2023 tillsynsbegäran mail.docx", "A 25202-2023")</f>
        <v/>
      </c>
    </row>
    <row r="85" ht="15" customHeight="1">
      <c r="A85" t="inlineStr">
        <is>
          <t>A 13724-2023</t>
        </is>
      </c>
      <c r="B85" t="inlineStr">
        <is>
          <t>avverkningsanmälan</t>
        </is>
      </c>
      <c r="C85" t="inlineStr">
        <is>
          <t>Föryngringsavverkning</t>
        </is>
      </c>
      <c r="D85" s="1" t="n">
        <v>45007</v>
      </c>
      <c r="E85" s="1" t="n">
        <v>46272</v>
      </c>
      <c r="F85" t="inlineStr">
        <is>
          <t>KALMAR LÄN</t>
        </is>
      </c>
      <c r="G85" t="inlineStr">
        <is>
          <t>KALMAR</t>
        </is>
      </c>
      <c r="I85" t="n">
        <v>2.5</v>
      </c>
      <c r="J85" t="n">
        <v>0</v>
      </c>
      <c r="K85" t="n">
        <v>0</v>
      </c>
      <c r="L85" t="n">
        <v>1</v>
      </c>
      <c r="M85" t="n">
        <v>0</v>
      </c>
      <c r="N85" t="n">
        <v>0</v>
      </c>
      <c r="O85" t="n">
        <v>0</v>
      </c>
      <c r="P85" t="n">
        <v>0</v>
      </c>
      <c r="Q85" t="n">
        <v>1</v>
      </c>
      <c r="R85" t="n">
        <v>0</v>
      </c>
      <c r="S85" t="n">
        <v>1</v>
      </c>
      <c r="T85" t="n">
        <v>1</v>
      </c>
      <c r="U85" t="n">
        <v>1</v>
      </c>
      <c r="V85" s="2" t="inlineStr">
        <is>
          <t>Jungfrulin</t>
        </is>
      </c>
      <c r="W85">
        <f>HYPERLINK("https://klasma.github.io/Logging_0880/artfynd/A 13724-2023 artfynd.xlsx", "A 13724-2023")</f>
        <v/>
      </c>
      <c r="X85">
        <f>HYPERLINK("https://klasma.github.io/Logging_0880/kartor/A 13724-2023 karta.png", "A 13724-2023")</f>
        <v/>
      </c>
      <c r="Y85">
        <f>HYPERLINK("https://klasma.github.io/Logging_0880/kartor_geotiff/A 13724-2023 georefererad karta.tif", "A 13724-2023")</f>
        <v/>
      </c>
      <c r="AA85">
        <f>HYPERLINK("https://klasma.github.io/Logging_0880/klagomål/A 13724-2023 FSC-klagomål.docx", "A 13724-2023")</f>
        <v/>
      </c>
      <c r="AB85">
        <f>HYPERLINK("https://klasma.github.io/Logging_0880/klagomålsmail/A 13724-2023 FSC-klagomål mail.docx", "A 13724-2023")</f>
        <v/>
      </c>
      <c r="AC85">
        <f>HYPERLINK("https://klasma.github.io/Logging_0880/tillsyn/A 13724-2023 tillsynsbegäran.docx", "A 13724-2023")</f>
        <v/>
      </c>
      <c r="AD85">
        <f>HYPERLINK("https://klasma.github.io/Logging_0880/tillsynsmail/A 13724-2023 tillsynsbegäran mail.docx", "A 13724-2023")</f>
        <v/>
      </c>
    </row>
    <row r="86" ht="15" customHeight="1">
      <c r="A86" t="inlineStr">
        <is>
          <t>A 42452-2023</t>
        </is>
      </c>
      <c r="B86" t="inlineStr">
        <is>
          <t>avverkningsanmälan</t>
        </is>
      </c>
      <c r="C86" t="inlineStr">
        <is>
          <t>Föryngringsavverkning</t>
        </is>
      </c>
      <c r="D86" s="1" t="n">
        <v>45180</v>
      </c>
      <c r="E86" s="1" t="n">
        <v>46272</v>
      </c>
      <c r="F86" t="inlineStr">
        <is>
          <t>KALMAR LÄN</t>
        </is>
      </c>
      <c r="G86" t="inlineStr">
        <is>
          <t>KALMAR</t>
        </is>
      </c>
      <c r="I86" t="n">
        <v>0.5</v>
      </c>
      <c r="J86" t="n">
        <v>1</v>
      </c>
      <c r="K86" t="n">
        <v>0</v>
      </c>
      <c r="L86" t="n">
        <v>1</v>
      </c>
      <c r="M86" t="n">
        <v>0</v>
      </c>
      <c r="N86" t="n">
        <v>0</v>
      </c>
      <c r="O86" t="n">
        <v>0</v>
      </c>
      <c r="P86" t="n">
        <v>0</v>
      </c>
      <c r="Q86" t="n">
        <v>1</v>
      </c>
      <c r="R86" t="n">
        <v>0</v>
      </c>
      <c r="S86" t="n">
        <v>1</v>
      </c>
      <c r="T86" t="n">
        <v>1</v>
      </c>
      <c r="U86" t="n">
        <v>1</v>
      </c>
      <c r="V86" s="2" t="inlineStr">
        <is>
          <t>Talltita</t>
        </is>
      </c>
      <c r="W86">
        <f>HYPERLINK("https://klasma.github.io/Logging_0880/artfynd/A 42452-2023 artfynd.xlsx", "A 42452-2023")</f>
        <v/>
      </c>
      <c r="X86">
        <f>HYPERLINK("https://klasma.github.io/Logging_0880/kartor/A 42452-2023 karta.png", "A 42452-2023")</f>
        <v/>
      </c>
      <c r="Y86">
        <f>HYPERLINK("https://klasma.github.io/Logging_0880/kartor_geotiff/A 42452-2023 georefererad karta.tif", "A 42452-2023")</f>
        <v/>
      </c>
      <c r="AA86">
        <f>HYPERLINK("https://klasma.github.io/Logging_0880/klagomål/A 42452-2023 FSC-klagomål.docx", "A 42452-2023")</f>
        <v/>
      </c>
      <c r="AB86">
        <f>HYPERLINK("https://klasma.github.io/Logging_0880/klagomålsmail/A 42452-2023 FSC-klagomål mail.docx", "A 42452-2023")</f>
        <v/>
      </c>
      <c r="AC86">
        <f>HYPERLINK("https://klasma.github.io/Logging_0880/tillsyn/A 42452-2023 tillsynsbegäran.docx", "A 42452-2023")</f>
        <v/>
      </c>
      <c r="AD86">
        <f>HYPERLINK("https://klasma.github.io/Logging_0880/tillsynsmail/A 42452-2023 tillsynsbegäran mail.docx", "A 42452-2023")</f>
        <v/>
      </c>
      <c r="AE86">
        <f>HYPERLINK("https://klasma.github.io/Logging_0880/fåglar/A 42452-2023 prioriterade fågelarter.docx", "A 42452-2023")</f>
        <v/>
      </c>
    </row>
    <row r="87" ht="15" customHeight="1">
      <c r="A87" t="inlineStr">
        <is>
          <t>A 39745-2023</t>
        </is>
      </c>
      <c r="B87" t="inlineStr">
        <is>
          <t>avverkningsanmälan</t>
        </is>
      </c>
      <c r="C87" t="inlineStr">
        <is>
          <t>Föryngringsavverkning</t>
        </is>
      </c>
      <c r="D87" s="1" t="n">
        <v>45167</v>
      </c>
      <c r="E87" s="1" t="n">
        <v>46272</v>
      </c>
      <c r="F87" t="inlineStr">
        <is>
          <t>KALMAR LÄN</t>
        </is>
      </c>
      <c r="G87" t="inlineStr">
        <is>
          <t>KALMAR</t>
        </is>
      </c>
      <c r="I87" t="n">
        <v>1.3</v>
      </c>
      <c r="J87" t="n">
        <v>0</v>
      </c>
      <c r="K87" t="n">
        <v>1</v>
      </c>
      <c r="L87" t="n">
        <v>0</v>
      </c>
      <c r="M87" t="n">
        <v>0</v>
      </c>
      <c r="N87" t="n">
        <v>0</v>
      </c>
      <c r="O87" t="n">
        <v>0</v>
      </c>
      <c r="P87" t="n">
        <v>0</v>
      </c>
      <c r="Q87" t="n">
        <v>0</v>
      </c>
      <c r="R87" t="n">
        <v>0</v>
      </c>
      <c r="S87" t="n">
        <v>1</v>
      </c>
      <c r="T87" t="n">
        <v>1</v>
      </c>
      <c r="U87" t="n">
        <v>1</v>
      </c>
      <c r="V87" s="2" t="inlineStr">
        <is>
          <t>Murgröna</t>
        </is>
      </c>
      <c r="W87">
        <f>HYPERLINK("https://klasma.github.io/Logging_0880/artfynd/A 39745-2023 artfynd.xlsx", "A 39745-2023")</f>
        <v/>
      </c>
      <c r="X87">
        <f>HYPERLINK("https://klasma.github.io/Logging_0880/kartor/A 39745-2023 karta.png", "A 39745-2023")</f>
        <v/>
      </c>
      <c r="Y87">
        <f>HYPERLINK("https://klasma.github.io/Logging_0880/kartor_geotiff/A 39745-2023 georefererad karta.tif", "A 39745-2023")</f>
        <v/>
      </c>
      <c r="AA87">
        <f>HYPERLINK("https://klasma.github.io/Logging_0880/klagomål/A 39745-2023 FSC-klagomål.docx", "A 39745-2023")</f>
        <v/>
      </c>
      <c r="AB87">
        <f>HYPERLINK("https://klasma.github.io/Logging_0880/klagomålsmail/A 39745-2023 FSC-klagomål mail.docx", "A 39745-2023")</f>
        <v/>
      </c>
      <c r="AC87">
        <f>HYPERLINK("https://klasma.github.io/Logging_0880/tillsyn/A 39745-2023 tillsynsbegäran.docx", "A 39745-2023")</f>
        <v/>
      </c>
      <c r="AD87">
        <f>HYPERLINK("https://klasma.github.io/Logging_0880/tillsynsmail/A 39745-2023 tillsynsbegäran mail.docx", "A 39745-2023")</f>
        <v/>
      </c>
    </row>
    <row r="88" ht="15" customHeight="1">
      <c r="A88" t="inlineStr">
        <is>
          <t>A 36389-2025</t>
        </is>
      </c>
      <c r="B88" t="inlineStr">
        <is>
          <t>avverkningsanmälan</t>
        </is>
      </c>
      <c r="C88" t="inlineStr">
        <is>
          <t>Föryngringsavverkning</t>
        </is>
      </c>
      <c r="D88" s="1" t="n">
        <v>45868</v>
      </c>
      <c r="E88" s="1" t="n">
        <v>46272</v>
      </c>
      <c r="F88" t="inlineStr">
        <is>
          <t>KALMAR LÄN</t>
        </is>
      </c>
      <c r="G88" t="inlineStr">
        <is>
          <t>KALMAR</t>
        </is>
      </c>
      <c r="I88" t="n">
        <v>4</v>
      </c>
      <c r="J88" t="n">
        <v>0</v>
      </c>
      <c r="K88" t="n">
        <v>1</v>
      </c>
      <c r="L88" t="n">
        <v>0</v>
      </c>
      <c r="M88" t="n">
        <v>0</v>
      </c>
      <c r="N88" t="n">
        <v>0</v>
      </c>
      <c r="O88" t="n">
        <v>0</v>
      </c>
      <c r="P88" t="n">
        <v>0</v>
      </c>
      <c r="Q88" t="n">
        <v>0</v>
      </c>
      <c r="R88" t="n">
        <v>0</v>
      </c>
      <c r="S88" t="n">
        <v>1</v>
      </c>
      <c r="T88" t="n">
        <v>1</v>
      </c>
      <c r="U88" t="n">
        <v>0</v>
      </c>
      <c r="V88" s="2" t="inlineStr">
        <is>
          <t>Blåmossa</t>
        </is>
      </c>
      <c r="W88">
        <f>HYPERLINK("https://klasma.github.io/Logging_0880/artfynd/A 36389-2025 artfynd.xlsx", "A 36389-2025")</f>
        <v/>
      </c>
      <c r="X88">
        <f>HYPERLINK("https://klasma.github.io/Logging_0880/kartor/A 36389-2025 karta.png", "A 36389-2025")</f>
        <v/>
      </c>
      <c r="Y88">
        <f>HYPERLINK("https://klasma.github.io/Logging_0880/kartor_geotiff/A 36389-2025 georefererad karta.tif", "A 36389-2025")</f>
        <v/>
      </c>
      <c r="AA88">
        <f>HYPERLINK("https://klasma.github.io/Logging_0880/klagomål/A 36389-2025 FSC-klagomål.docx", "A 36389-2025")</f>
        <v/>
      </c>
      <c r="AB88">
        <f>HYPERLINK("https://klasma.github.io/Logging_0880/klagomålsmail/A 36389-2025 FSC-klagomål mail.docx", "A 36389-2025")</f>
        <v/>
      </c>
      <c r="AC88">
        <f>HYPERLINK("https://klasma.github.io/Logging_0880/tillsyn/A 36389-2025 tillsynsbegäran.docx", "A 36389-2025")</f>
        <v/>
      </c>
      <c r="AD88">
        <f>HYPERLINK("https://klasma.github.io/Logging_0880/tillsynsmail/A 36389-2025 tillsynsbegäran mail.docx", "A 36389-2025")</f>
        <v/>
      </c>
    </row>
    <row r="89" ht="15" customHeight="1">
      <c r="A89" t="inlineStr">
        <is>
          <t>A 13721-2023</t>
        </is>
      </c>
      <c r="B89" t="inlineStr">
        <is>
          <t>avverkningsanmälan</t>
        </is>
      </c>
      <c r="C89" t="inlineStr">
        <is>
          <t>Föryngringsavverkning</t>
        </is>
      </c>
      <c r="D89" s="1" t="n">
        <v>45007</v>
      </c>
      <c r="E89" s="1" t="n">
        <v>46272</v>
      </c>
      <c r="F89" t="inlineStr">
        <is>
          <t>KALMAR LÄN</t>
        </is>
      </c>
      <c r="G89" t="inlineStr">
        <is>
          <t>KALMAR</t>
        </is>
      </c>
      <c r="I89" t="n">
        <v>5.2</v>
      </c>
      <c r="J89" t="n">
        <v>0</v>
      </c>
      <c r="K89" t="n">
        <v>1</v>
      </c>
      <c r="L89" t="n">
        <v>0</v>
      </c>
      <c r="M89" t="n">
        <v>0</v>
      </c>
      <c r="N89" t="n">
        <v>0</v>
      </c>
      <c r="O89" t="n">
        <v>0</v>
      </c>
      <c r="P89" t="n">
        <v>0</v>
      </c>
      <c r="Q89" t="n">
        <v>0</v>
      </c>
      <c r="R89" t="n">
        <v>0</v>
      </c>
      <c r="S89" t="n">
        <v>1</v>
      </c>
      <c r="T89" t="n">
        <v>1</v>
      </c>
      <c r="U89" t="n">
        <v>1</v>
      </c>
      <c r="V89" s="2" t="inlineStr">
        <is>
          <t>Ögonpyrola</t>
        </is>
      </c>
      <c r="W89">
        <f>HYPERLINK("https://klasma.github.io/Logging_0880/artfynd/A 13721-2023 artfynd.xlsx", "A 13721-2023")</f>
        <v/>
      </c>
      <c r="X89">
        <f>HYPERLINK("https://klasma.github.io/Logging_0880/kartor/A 13721-2023 karta.png", "A 13721-2023")</f>
        <v/>
      </c>
      <c r="Y89">
        <f>HYPERLINK("https://klasma.github.io/Logging_0880/kartor_geotiff/A 13721-2023 georefererad karta.tif", "A 13721-2023")</f>
        <v/>
      </c>
      <c r="AA89">
        <f>HYPERLINK("https://klasma.github.io/Logging_0880/klagomål/A 13721-2023 FSC-klagomål.docx", "A 13721-2023")</f>
        <v/>
      </c>
      <c r="AB89">
        <f>HYPERLINK("https://klasma.github.io/Logging_0880/klagomålsmail/A 13721-2023 FSC-klagomål mail.docx", "A 13721-2023")</f>
        <v/>
      </c>
      <c r="AC89">
        <f>HYPERLINK("https://klasma.github.io/Logging_0880/tillsyn/A 13721-2023 tillsynsbegäran.docx", "A 13721-2023")</f>
        <v/>
      </c>
      <c r="AD89">
        <f>HYPERLINK("https://klasma.github.io/Logging_0880/tillsynsmail/A 13721-2023 tillsynsbegäran mail.docx", "A 13721-2023")</f>
        <v/>
      </c>
    </row>
    <row r="90" ht="15" customHeight="1">
      <c r="A90" t="inlineStr">
        <is>
          <t>A 61236-2022</t>
        </is>
      </c>
      <c r="B90" t="inlineStr">
        <is>
          <t>avverkningsanmälan</t>
        </is>
      </c>
      <c r="C90" t="inlineStr">
        <is>
          <t>Föryngringsavverkning</t>
        </is>
      </c>
      <c r="D90" s="1" t="n">
        <v>44915</v>
      </c>
      <c r="E90" s="1" t="n">
        <v>46272</v>
      </c>
      <c r="F90" t="inlineStr">
        <is>
          <t>KALMAR LÄN</t>
        </is>
      </c>
      <c r="G90" t="inlineStr">
        <is>
          <t>KALMAR</t>
        </is>
      </c>
      <c r="I90" t="n">
        <v>1.4</v>
      </c>
      <c r="J90" t="n">
        <v>0</v>
      </c>
      <c r="K90" t="n">
        <v>1</v>
      </c>
      <c r="L90" t="n">
        <v>0</v>
      </c>
      <c r="M90" t="n">
        <v>0</v>
      </c>
      <c r="N90" t="n">
        <v>0</v>
      </c>
      <c r="O90" t="n">
        <v>0</v>
      </c>
      <c r="P90" t="n">
        <v>0</v>
      </c>
      <c r="Q90" t="n">
        <v>0</v>
      </c>
      <c r="R90" t="n">
        <v>0</v>
      </c>
      <c r="S90" t="n">
        <v>1</v>
      </c>
      <c r="T90" t="n">
        <v>1</v>
      </c>
      <c r="U90" t="n">
        <v>1</v>
      </c>
      <c r="V90" s="2" t="inlineStr">
        <is>
          <t>Murgröna</t>
        </is>
      </c>
      <c r="W90">
        <f>HYPERLINK("https://klasma.github.io/Logging_0880/artfynd/A 61236-2022 artfynd.xlsx", "A 61236-2022")</f>
        <v/>
      </c>
      <c r="X90">
        <f>HYPERLINK("https://klasma.github.io/Logging_0880/kartor/A 61236-2022 karta.png", "A 61236-2022")</f>
        <v/>
      </c>
      <c r="Y90">
        <f>HYPERLINK("https://klasma.github.io/Logging_0880/kartor_geotiff/A 61236-2022 georefererad karta.tif", "A 61236-2022")</f>
        <v/>
      </c>
      <c r="AA90">
        <f>HYPERLINK("https://klasma.github.io/Logging_0880/klagomål/A 61236-2022 FSC-klagomål.docx", "A 61236-2022")</f>
        <v/>
      </c>
      <c r="AB90">
        <f>HYPERLINK("https://klasma.github.io/Logging_0880/klagomålsmail/A 61236-2022 FSC-klagomål mail.docx", "A 61236-2022")</f>
        <v/>
      </c>
      <c r="AC90">
        <f>HYPERLINK("https://klasma.github.io/Logging_0880/tillsyn/A 61236-2022 tillsynsbegäran.docx", "A 61236-2022")</f>
        <v/>
      </c>
      <c r="AD90">
        <f>HYPERLINK("https://klasma.github.io/Logging_0880/tillsynsmail/A 61236-2022 tillsynsbegäran mail.docx", "A 61236-2022")</f>
        <v/>
      </c>
    </row>
    <row r="91" ht="15" customHeight="1">
      <c r="A91" t="inlineStr">
        <is>
          <t>A 60807-2022</t>
        </is>
      </c>
      <c r="B91" t="inlineStr">
        <is>
          <t>avverkningsanmälan</t>
        </is>
      </c>
      <c r="C91" t="inlineStr">
        <is>
          <t>Föryngringsavverkning</t>
        </is>
      </c>
      <c r="D91" s="1" t="n">
        <v>44914</v>
      </c>
      <c r="E91" s="1" t="n">
        <v>46272</v>
      </c>
      <c r="F91" t="inlineStr">
        <is>
          <t>KALMAR LÄN</t>
        </is>
      </c>
      <c r="G91" t="inlineStr">
        <is>
          <t>KALMAR</t>
        </is>
      </c>
      <c r="I91" t="n">
        <v>0.8</v>
      </c>
      <c r="J91" t="n">
        <v>1</v>
      </c>
      <c r="K91" t="n">
        <v>0</v>
      </c>
      <c r="L91" t="n">
        <v>0</v>
      </c>
      <c r="M91" t="n">
        <v>1</v>
      </c>
      <c r="N91" t="n">
        <v>0</v>
      </c>
      <c r="O91" t="n">
        <v>0</v>
      </c>
      <c r="P91" t="n">
        <v>0</v>
      </c>
      <c r="Q91" t="n">
        <v>1</v>
      </c>
      <c r="R91" t="n">
        <v>1</v>
      </c>
      <c r="S91" t="n">
        <v>1</v>
      </c>
      <c r="T91" t="n">
        <v>1</v>
      </c>
      <c r="U91" t="n">
        <v>0</v>
      </c>
      <c r="V91" s="2" t="inlineStr">
        <is>
          <t>Hedblomster</t>
        </is>
      </c>
      <c r="W91">
        <f>HYPERLINK("https://klasma.github.io/Logging_0880/artfynd/A 60807-2022 artfynd.xlsx", "A 60807-2022")</f>
        <v/>
      </c>
      <c r="X91">
        <f>HYPERLINK("https://klasma.github.io/Logging_0880/kartor/A 60807-2022 karta.png", "A 60807-2022")</f>
        <v/>
      </c>
      <c r="Y91">
        <f>HYPERLINK("https://klasma.github.io/Logging_0880/kartor_geotiff/A 60807-2022 georefererad karta.tif", "A 60807-2022")</f>
        <v/>
      </c>
      <c r="AA91">
        <f>HYPERLINK("https://klasma.github.io/Logging_0880/klagomål/A 60807-2022 FSC-klagomål.docx", "A 60807-2022")</f>
        <v/>
      </c>
      <c r="AB91">
        <f>HYPERLINK("https://klasma.github.io/Logging_0880/klagomålsmail/A 60807-2022 FSC-klagomål mail.docx", "A 60807-2022")</f>
        <v/>
      </c>
      <c r="AC91">
        <f>HYPERLINK("https://klasma.github.io/Logging_0880/tillsyn/A 60807-2022 tillsynsbegäran.docx", "A 60807-2022")</f>
        <v/>
      </c>
      <c r="AD91">
        <f>HYPERLINK("https://klasma.github.io/Logging_0880/tillsynsmail/A 60807-2022 tillsynsbegäran mail.docx", "A 60807-2022")</f>
        <v/>
      </c>
    </row>
    <row r="92" ht="15" customHeight="1">
      <c r="A92" t="inlineStr">
        <is>
          <t>A 10924-2023</t>
        </is>
      </c>
      <c r="B92" t="inlineStr">
        <is>
          <t>avverkningsanmälan</t>
        </is>
      </c>
      <c r="C92" t="inlineStr">
        <is>
          <t>Föryngringsavverkning</t>
        </is>
      </c>
      <c r="D92" s="1" t="n">
        <v>44991</v>
      </c>
      <c r="E92" s="1" t="n">
        <v>46272</v>
      </c>
      <c r="F92" t="inlineStr">
        <is>
          <t>KALMAR LÄN</t>
        </is>
      </c>
      <c r="G92" t="inlineStr">
        <is>
          <t>KALMAR</t>
        </is>
      </c>
      <c r="I92" t="n">
        <v>0.5</v>
      </c>
      <c r="J92" t="n">
        <v>1</v>
      </c>
      <c r="K92" t="n">
        <v>0</v>
      </c>
      <c r="L92" t="n">
        <v>0</v>
      </c>
      <c r="M92" t="n">
        <v>0</v>
      </c>
      <c r="N92" t="n">
        <v>0</v>
      </c>
      <c r="O92" t="n">
        <v>0</v>
      </c>
      <c r="P92" t="n">
        <v>0</v>
      </c>
      <c r="Q92" t="n">
        <v>0</v>
      </c>
      <c r="R92" t="n">
        <v>0</v>
      </c>
      <c r="S92" t="n">
        <v>1</v>
      </c>
      <c r="T92" t="n">
        <v>1</v>
      </c>
      <c r="U92" t="n">
        <v>1</v>
      </c>
      <c r="V92" s="2" t="inlineStr">
        <is>
          <t>Nattviol</t>
        </is>
      </c>
      <c r="W92">
        <f>HYPERLINK("https://klasma.github.io/Logging_0880/artfynd/A 10924-2023 artfynd.xlsx", "A 10924-2023")</f>
        <v/>
      </c>
      <c r="X92">
        <f>HYPERLINK("https://klasma.github.io/Logging_0880/kartor/A 10924-2023 karta.png", "A 10924-2023")</f>
        <v/>
      </c>
      <c r="Y92">
        <f>HYPERLINK("https://klasma.github.io/Logging_0880/kartor_geotiff/A 10924-2023 georefererad karta.tif", "A 10924-2023")</f>
        <v/>
      </c>
      <c r="AA92">
        <f>HYPERLINK("https://klasma.github.io/Logging_0880/klagomål/A 10924-2023 FSC-klagomål.docx", "A 10924-2023")</f>
        <v/>
      </c>
      <c r="AB92">
        <f>HYPERLINK("https://klasma.github.io/Logging_0880/klagomålsmail/A 10924-2023 FSC-klagomål mail.docx", "A 10924-2023")</f>
        <v/>
      </c>
      <c r="AC92">
        <f>HYPERLINK("https://klasma.github.io/Logging_0880/tillsyn/A 10924-2023 tillsynsbegäran.docx", "A 10924-2023")</f>
        <v/>
      </c>
      <c r="AD92">
        <f>HYPERLINK("https://klasma.github.io/Logging_0880/tillsynsmail/A 10924-2023 tillsynsbegäran mail.docx", "A 10924-2023")</f>
        <v/>
      </c>
    </row>
    <row r="93" ht="15" customHeight="1">
      <c r="A93" t="inlineStr">
        <is>
          <t>A 37797-2022</t>
        </is>
      </c>
      <c r="B93" t="inlineStr">
        <is>
          <t>avverkningsanmälan</t>
        </is>
      </c>
      <c r="C93" t="inlineStr">
        <is>
          <t>Föryngringsavverkning</t>
        </is>
      </c>
      <c r="D93" s="1" t="n">
        <v>44810</v>
      </c>
      <c r="E93" s="1" t="n">
        <v>46272</v>
      </c>
      <c r="F93" t="inlineStr">
        <is>
          <t>KALMAR LÄN</t>
        </is>
      </c>
      <c r="G93" t="inlineStr">
        <is>
          <t>KALMAR</t>
        </is>
      </c>
      <c r="I93" t="n">
        <v>3.8</v>
      </c>
      <c r="J93" t="n">
        <v>0</v>
      </c>
      <c r="K93" t="n">
        <v>0</v>
      </c>
      <c r="L93" t="n">
        <v>1</v>
      </c>
      <c r="M93" t="n">
        <v>0</v>
      </c>
      <c r="N93" t="n">
        <v>0</v>
      </c>
      <c r="O93" t="n">
        <v>0</v>
      </c>
      <c r="P93" t="n">
        <v>0</v>
      </c>
      <c r="Q93" t="n">
        <v>1</v>
      </c>
      <c r="R93" t="n">
        <v>0</v>
      </c>
      <c r="S93" t="n">
        <v>1</v>
      </c>
      <c r="T93" t="n">
        <v>1</v>
      </c>
      <c r="U93" t="n">
        <v>0</v>
      </c>
      <c r="V93" s="2" t="inlineStr">
        <is>
          <t>Skogshare</t>
        </is>
      </c>
      <c r="W93">
        <f>HYPERLINK("https://klasma.github.io/Logging_0880/artfynd/A 37797-2022 artfynd.xlsx", "A 37797-2022")</f>
        <v/>
      </c>
      <c r="X93">
        <f>HYPERLINK("https://klasma.github.io/Logging_0880/kartor/A 37797-2022 karta.png", "A 37797-2022")</f>
        <v/>
      </c>
      <c r="Y93">
        <f>HYPERLINK("https://klasma.github.io/Logging_0880/kartor_geotiff/A 37797-2022 georefererad karta.tif", "A 37797-2022")</f>
        <v/>
      </c>
      <c r="AA93">
        <f>HYPERLINK("https://klasma.github.io/Logging_0880/klagomål/A 37797-2022 FSC-klagomål.docx", "A 37797-2022")</f>
        <v/>
      </c>
      <c r="AB93">
        <f>HYPERLINK("https://klasma.github.io/Logging_0880/klagomålsmail/A 37797-2022 FSC-klagomål mail.docx", "A 37797-2022")</f>
        <v/>
      </c>
      <c r="AC93">
        <f>HYPERLINK("https://klasma.github.io/Logging_0880/tillsyn/A 37797-2022 tillsynsbegäran.docx", "A 37797-2022")</f>
        <v/>
      </c>
      <c r="AD93">
        <f>HYPERLINK("https://klasma.github.io/Logging_0880/tillsynsmail/A 37797-2022 tillsynsbegäran mail.docx", "A 37797-2022")</f>
        <v/>
      </c>
    </row>
    <row r="94" ht="15" customHeight="1">
      <c r="A94" t="inlineStr">
        <is>
          <t>A 22014-2023</t>
        </is>
      </c>
      <c r="B94" t="inlineStr">
        <is>
          <t>avverkningsanmälan</t>
        </is>
      </c>
      <c r="C94" t="inlineStr">
        <is>
          <t>Föryngringsavverkning</t>
        </is>
      </c>
      <c r="D94" s="1" t="n">
        <v>45069</v>
      </c>
      <c r="E94" s="1" t="n">
        <v>46272</v>
      </c>
      <c r="F94" t="inlineStr">
        <is>
          <t>KALMAR LÄN</t>
        </is>
      </c>
      <c r="G94" t="inlineStr">
        <is>
          <t>KALMAR</t>
        </is>
      </c>
      <c r="I94" t="n">
        <v>1.6</v>
      </c>
      <c r="J94" t="n">
        <v>1</v>
      </c>
      <c r="K94" t="n">
        <v>0</v>
      </c>
      <c r="L94" t="n">
        <v>0</v>
      </c>
      <c r="M94" t="n">
        <v>0</v>
      </c>
      <c r="N94" t="n">
        <v>0</v>
      </c>
      <c r="O94" t="n">
        <v>0</v>
      </c>
      <c r="P94" t="n">
        <v>0</v>
      </c>
      <c r="Q94" t="n">
        <v>0</v>
      </c>
      <c r="R94" t="n">
        <v>0</v>
      </c>
      <c r="S94" t="n">
        <v>1</v>
      </c>
      <c r="T94" t="n">
        <v>1</v>
      </c>
      <c r="U94" t="n">
        <v>1</v>
      </c>
      <c r="V94" s="2" t="inlineStr">
        <is>
          <t>Lopplummer (aggregat)</t>
        </is>
      </c>
      <c r="W94">
        <f>HYPERLINK("https://klasma.github.io/Logging_0880/artfynd/A 22014-2023 artfynd.xlsx", "A 22014-2023")</f>
        <v/>
      </c>
      <c r="X94">
        <f>HYPERLINK("https://klasma.github.io/Logging_0880/kartor/A 22014-2023 karta.png", "A 22014-2023")</f>
        <v/>
      </c>
      <c r="Y94">
        <f>HYPERLINK("https://klasma.github.io/Logging_0880/kartor_geotiff/A 22014-2023 georefererad karta.tif", "A 22014-2023")</f>
        <v/>
      </c>
      <c r="AA94">
        <f>HYPERLINK("https://klasma.github.io/Logging_0880/klagomål/A 22014-2023 FSC-klagomål.docx", "A 22014-2023")</f>
        <v/>
      </c>
      <c r="AB94">
        <f>HYPERLINK("https://klasma.github.io/Logging_0880/klagomålsmail/A 22014-2023 FSC-klagomål mail.docx", "A 22014-2023")</f>
        <v/>
      </c>
      <c r="AC94">
        <f>HYPERLINK("https://klasma.github.io/Logging_0880/tillsyn/A 22014-2023 tillsynsbegäran.docx", "A 22014-2023")</f>
        <v/>
      </c>
      <c r="AD94">
        <f>HYPERLINK("https://klasma.github.io/Logging_0880/tillsynsmail/A 22014-2023 tillsynsbegäran mail.docx", "A 22014-2023")</f>
        <v/>
      </c>
    </row>
    <row r="95" ht="15" customHeight="1">
      <c r="A95" t="inlineStr">
        <is>
          <t>A 16473-2026</t>
        </is>
      </c>
      <c r="B95" t="inlineStr">
        <is>
          <t>avverkningsanmälan</t>
        </is>
      </c>
      <c r="C95" t="inlineStr">
        <is>
          <t>Föryngringsavverkning</t>
        </is>
      </c>
      <c r="D95" s="1" t="n">
        <v>46112</v>
      </c>
      <c r="E95" s="1" t="n">
        <v>46272</v>
      </c>
      <c r="F95" t="inlineStr">
        <is>
          <t>KALMAR LÄN</t>
        </is>
      </c>
      <c r="G95" t="inlineStr">
        <is>
          <t>KALMAR</t>
        </is>
      </c>
      <c r="I95" t="n">
        <v>1.9</v>
      </c>
      <c r="J95" t="n">
        <v>1</v>
      </c>
      <c r="K95" t="n">
        <v>0</v>
      </c>
      <c r="L95" t="n">
        <v>1</v>
      </c>
      <c r="M95" t="n">
        <v>0</v>
      </c>
      <c r="N95" t="n">
        <v>0</v>
      </c>
      <c r="O95" t="n">
        <v>0</v>
      </c>
      <c r="P95" t="n">
        <v>0</v>
      </c>
      <c r="Q95" t="n">
        <v>1</v>
      </c>
      <c r="R95" t="n">
        <v>0</v>
      </c>
      <c r="S95" t="n">
        <v>1</v>
      </c>
      <c r="T95" t="n">
        <v>1</v>
      </c>
      <c r="U95" t="n">
        <v>0</v>
      </c>
      <c r="V95" s="2" t="inlineStr">
        <is>
          <t>Grönsångare</t>
        </is>
      </c>
      <c r="W95">
        <f>HYPERLINK("https://klasma.github.io/Logging_0880/artfynd/A 16473-2026 artfynd.xlsx", "A 16473-2026")</f>
        <v/>
      </c>
      <c r="X95">
        <f>HYPERLINK("https://klasma.github.io/Logging_0880/kartor/A 16473-2026 karta.png", "A 16473-2026")</f>
        <v/>
      </c>
      <c r="Y95">
        <f>HYPERLINK("https://klasma.github.io/Logging_0880/kartor_geotiff/A 16473-2026 georefererad karta.tif", "A 16473-2026")</f>
        <v/>
      </c>
      <c r="AA95">
        <f>HYPERLINK("https://klasma.github.io/Logging_0880/klagomål/A 16473-2026 FSC-klagomål.docx", "A 16473-2026")</f>
        <v/>
      </c>
      <c r="AB95">
        <f>HYPERLINK("https://klasma.github.io/Logging_0880/klagomålsmail/A 16473-2026 FSC-klagomål mail.docx", "A 16473-2026")</f>
        <v/>
      </c>
      <c r="AC95">
        <f>HYPERLINK("https://klasma.github.io/Logging_0880/tillsyn/A 16473-2026 tillsynsbegäran.docx", "A 16473-2026")</f>
        <v/>
      </c>
      <c r="AD95">
        <f>HYPERLINK("https://klasma.github.io/Logging_0880/tillsynsmail/A 16473-2026 tillsynsbegäran mail.docx", "A 16473-2026")</f>
        <v/>
      </c>
      <c r="AE95">
        <f>HYPERLINK("https://klasma.github.io/Logging_0880/fåglar/A 16473-2026 prioriterade fågelarter.docx", "A 16473-2026")</f>
        <v/>
      </c>
    </row>
    <row r="96" ht="15" customHeight="1">
      <c r="A96" t="inlineStr">
        <is>
          <t>A 17343-2026</t>
        </is>
      </c>
      <c r="B96" t="inlineStr">
        <is>
          <t>avverkningsanmälan</t>
        </is>
      </c>
      <c r="C96" t="inlineStr">
        <is>
          <t>Föryngringsavverkning</t>
        </is>
      </c>
      <c r="D96" s="1" t="n">
        <v>46119</v>
      </c>
      <c r="E96" s="1" t="n">
        <v>46272</v>
      </c>
      <c r="F96" t="inlineStr">
        <is>
          <t>KALMAR LÄN</t>
        </is>
      </c>
      <c r="G96" t="inlineStr">
        <is>
          <t>KALMAR</t>
        </is>
      </c>
      <c r="I96" t="n">
        <v>5.1</v>
      </c>
      <c r="J96" t="n">
        <v>0</v>
      </c>
      <c r="K96" t="n">
        <v>0</v>
      </c>
      <c r="L96" t="n">
        <v>0</v>
      </c>
      <c r="M96" t="n">
        <v>1</v>
      </c>
      <c r="N96" t="n">
        <v>0</v>
      </c>
      <c r="O96" t="n">
        <v>0</v>
      </c>
      <c r="P96" t="n">
        <v>0</v>
      </c>
      <c r="Q96" t="n">
        <v>1</v>
      </c>
      <c r="R96" t="n">
        <v>1</v>
      </c>
      <c r="S96" t="n">
        <v>1</v>
      </c>
      <c r="T96" t="n">
        <v>1</v>
      </c>
      <c r="U96" t="n">
        <v>0</v>
      </c>
      <c r="V96" s="2" t="inlineStr">
        <is>
          <t>Igelkott</t>
        </is>
      </c>
      <c r="W96">
        <f>HYPERLINK("https://klasma.github.io/Logging_0880/artfynd/A 17343-2026 artfynd.xlsx", "A 17343-2026")</f>
        <v/>
      </c>
      <c r="X96">
        <f>HYPERLINK("https://klasma.github.io/Logging_0880/kartor/A 17343-2026 karta.png", "A 17343-2026")</f>
        <v/>
      </c>
      <c r="Y96">
        <f>HYPERLINK("https://klasma.github.io/Logging_0880/kartor_geotiff/A 17343-2026 georefererad karta.tif", "A 17343-2026")</f>
        <v/>
      </c>
      <c r="AA96">
        <f>HYPERLINK("https://klasma.github.io/Logging_0880/klagomål/A 17343-2026 FSC-klagomål.docx", "A 17343-2026")</f>
        <v/>
      </c>
      <c r="AB96">
        <f>HYPERLINK("https://klasma.github.io/Logging_0880/klagomålsmail/A 17343-2026 FSC-klagomål mail.docx", "A 17343-2026")</f>
        <v/>
      </c>
      <c r="AC96">
        <f>HYPERLINK("https://klasma.github.io/Logging_0880/tillsyn/A 17343-2026 tillsynsbegäran.docx", "A 17343-2026")</f>
        <v/>
      </c>
      <c r="AD96">
        <f>HYPERLINK("https://klasma.github.io/Logging_0880/tillsynsmail/A 17343-2026 tillsynsbegäran mail.docx", "A 17343-2026")</f>
        <v/>
      </c>
    </row>
    <row r="97" ht="15" customHeight="1">
      <c r="A97" t="inlineStr">
        <is>
          <t>A 44734-2025</t>
        </is>
      </c>
      <c r="B97" t="inlineStr">
        <is>
          <t>avverkningsanmälan</t>
        </is>
      </c>
      <c r="C97" t="inlineStr">
        <is>
          <t>Föryngringsavverkning</t>
        </is>
      </c>
      <c r="D97" s="1" t="n">
        <v>45917</v>
      </c>
      <c r="E97" s="1" t="n">
        <v>46272</v>
      </c>
      <c r="F97" t="inlineStr">
        <is>
          <t>KALMAR LÄN</t>
        </is>
      </c>
      <c r="G97" t="inlineStr">
        <is>
          <t>KALMAR</t>
        </is>
      </c>
      <c r="I97" t="n">
        <v>4.6</v>
      </c>
      <c r="J97" t="n">
        <v>1</v>
      </c>
      <c r="K97" t="n">
        <v>0</v>
      </c>
      <c r="L97" t="n">
        <v>0</v>
      </c>
      <c r="M97" t="n">
        <v>0</v>
      </c>
      <c r="N97" t="n">
        <v>0</v>
      </c>
      <c r="O97" t="n">
        <v>0</v>
      </c>
      <c r="P97" t="n">
        <v>0</v>
      </c>
      <c r="Q97" t="n">
        <v>0</v>
      </c>
      <c r="R97" t="n">
        <v>0</v>
      </c>
      <c r="S97" t="n">
        <v>1</v>
      </c>
      <c r="T97" t="n">
        <v>1</v>
      </c>
      <c r="U97" t="n">
        <v>0</v>
      </c>
      <c r="V97" s="2" t="inlineStr">
        <is>
          <t>Blåsippa</t>
        </is>
      </c>
      <c r="W97">
        <f>HYPERLINK("https://klasma.github.io/Logging_0880/artfynd/A 44734-2025 artfynd.xlsx", "A 44734-2025")</f>
        <v/>
      </c>
      <c r="X97">
        <f>HYPERLINK("https://klasma.github.io/Logging_0880/kartor/A 44734-2025 karta.png", "A 44734-2025")</f>
        <v/>
      </c>
      <c r="Y97">
        <f>HYPERLINK("https://klasma.github.io/Logging_0880/kartor_geotiff/A 44734-2025 georefererad karta.tif", "A 44734-2025")</f>
        <v/>
      </c>
      <c r="AA97">
        <f>HYPERLINK("https://klasma.github.io/Logging_0880/klagomål/A 44734-2025 FSC-klagomål.docx", "A 44734-2025")</f>
        <v/>
      </c>
      <c r="AB97">
        <f>HYPERLINK("https://klasma.github.io/Logging_0880/klagomålsmail/A 44734-2025 FSC-klagomål mail.docx", "A 44734-2025")</f>
        <v/>
      </c>
      <c r="AC97">
        <f>HYPERLINK("https://klasma.github.io/Logging_0880/tillsyn/A 44734-2025 tillsynsbegäran.docx", "A 44734-2025")</f>
        <v/>
      </c>
      <c r="AD97">
        <f>HYPERLINK("https://klasma.github.io/Logging_0880/tillsynsmail/A 44734-2025 tillsynsbegäran mail.docx", "A 44734-2025")</f>
        <v/>
      </c>
    </row>
    <row r="98" ht="15" customHeight="1">
      <c r="A98" t="inlineStr">
        <is>
          <t>A 47891-2022</t>
        </is>
      </c>
      <c r="B98" t="inlineStr">
        <is>
          <t>avverkningsanmälan</t>
        </is>
      </c>
      <c r="C98" t="inlineStr">
        <is>
          <t>Avverkning för att bevara och utveckla /försöksver</t>
        </is>
      </c>
      <c r="D98" s="1" t="n">
        <v>44855</v>
      </c>
      <c r="E98" s="1" t="n">
        <v>46272</v>
      </c>
      <c r="F98" t="inlineStr">
        <is>
          <t>KALMAR LÄN</t>
        </is>
      </c>
      <c r="G98" t="inlineStr">
        <is>
          <t>KALMAR</t>
        </is>
      </c>
      <c r="H98" t="inlineStr">
        <is>
          <t>Sveaskog</t>
        </is>
      </c>
      <c r="I98" t="n">
        <v>12.2</v>
      </c>
      <c r="J98" t="n">
        <v>0</v>
      </c>
      <c r="K98" t="n">
        <v>0</v>
      </c>
      <c r="L98" t="n">
        <v>0</v>
      </c>
      <c r="M98" t="n">
        <v>1</v>
      </c>
      <c r="N98" t="n">
        <v>0</v>
      </c>
      <c r="O98" t="n">
        <v>0</v>
      </c>
      <c r="P98" t="n">
        <v>0</v>
      </c>
      <c r="Q98" t="n">
        <v>1</v>
      </c>
      <c r="R98" t="n">
        <v>1</v>
      </c>
      <c r="S98" t="n">
        <v>1</v>
      </c>
      <c r="T98" t="n">
        <v>1</v>
      </c>
      <c r="U98" t="n">
        <v>1</v>
      </c>
      <c r="V98" s="2" t="inlineStr">
        <is>
          <t>Igelkott</t>
        </is>
      </c>
      <c r="W98">
        <f>HYPERLINK("https://klasma.github.io/Logging_0880/artfynd/A 47891-2022 artfynd.xlsx", "A 47891-2022")</f>
        <v/>
      </c>
      <c r="X98">
        <f>HYPERLINK("https://klasma.github.io/Logging_0880/kartor/A 47891-2022 karta.png", "A 47891-2022")</f>
        <v/>
      </c>
      <c r="Y98">
        <f>HYPERLINK("https://klasma.github.io/Logging_0880/kartor_geotiff/A 47891-2022 georefererad karta.tif", "A 47891-2022")</f>
        <v/>
      </c>
      <c r="AA98">
        <f>HYPERLINK("https://klasma.github.io/Logging_0880/klagomål/A 47891-2022 FSC-klagomål.docx", "A 47891-2022")</f>
        <v/>
      </c>
      <c r="AB98">
        <f>HYPERLINK("https://klasma.github.io/Logging_0880/klagomålsmail/A 47891-2022 FSC-klagomål mail.docx", "A 47891-2022")</f>
        <v/>
      </c>
      <c r="AC98">
        <f>HYPERLINK("https://klasma.github.io/Logging_0880/tillsyn/A 47891-2022 tillsynsbegäran.docx", "A 47891-2022")</f>
        <v/>
      </c>
      <c r="AD98">
        <f>HYPERLINK("https://klasma.github.io/Logging_0880/tillsynsmail/A 47891-2022 tillsynsbegäran mail.docx", "A 47891-2022")</f>
        <v/>
      </c>
    </row>
    <row r="99" ht="15" customHeight="1">
      <c r="A99" t="inlineStr">
        <is>
          <t>A 21522-2023</t>
        </is>
      </c>
      <c r="B99" t="inlineStr">
        <is>
          <t>avverkningsanmälan</t>
        </is>
      </c>
      <c r="C99" t="inlineStr">
        <is>
          <t>Föryngringsavverkning</t>
        </is>
      </c>
      <c r="D99" s="1" t="n">
        <v>45063</v>
      </c>
      <c r="E99" s="1" t="n">
        <v>46272</v>
      </c>
      <c r="F99" t="inlineStr">
        <is>
          <t>KALMAR LÄN</t>
        </is>
      </c>
      <c r="G99" t="inlineStr">
        <is>
          <t>KALMAR</t>
        </is>
      </c>
      <c r="H99" t="inlineStr">
        <is>
          <t>Sveaskog</t>
        </is>
      </c>
      <c r="I99" t="n">
        <v>5.2</v>
      </c>
      <c r="J99" t="n">
        <v>1</v>
      </c>
      <c r="K99" t="n">
        <v>0</v>
      </c>
      <c r="L99" t="n">
        <v>0</v>
      </c>
      <c r="M99" t="n">
        <v>0</v>
      </c>
      <c r="N99" t="n">
        <v>0</v>
      </c>
      <c r="O99" t="n">
        <v>0</v>
      </c>
      <c r="P99" t="n">
        <v>0</v>
      </c>
      <c r="Q99" t="n">
        <v>0</v>
      </c>
      <c r="R99" t="n">
        <v>0</v>
      </c>
      <c r="S99" t="n">
        <v>1</v>
      </c>
      <c r="T99" t="n">
        <v>1</v>
      </c>
      <c r="U99" t="n">
        <v>0</v>
      </c>
      <c r="V99" s="2" t="inlineStr">
        <is>
          <t>Havsörn</t>
        </is>
      </c>
      <c r="W99">
        <f>HYPERLINK("https://klasma.github.io/Logging_0880/artfynd/A 21522-2023 artfynd.xlsx", "A 21522-2023")</f>
        <v/>
      </c>
      <c r="X99">
        <f>HYPERLINK("https://klasma.github.io/Logging_0880/kartor/A 21522-2023 karta.png", "A 21522-2023")</f>
        <v/>
      </c>
      <c r="Y99">
        <f>HYPERLINK("https://klasma.github.io/Logging_0880/kartor_geotiff/A 21522-2023 georefererad karta.tif", "A 21522-2023")</f>
        <v/>
      </c>
      <c r="AA99">
        <f>HYPERLINK("https://klasma.github.io/Logging_0880/klagomål/A 21522-2023 FSC-klagomål.docx", "A 21522-2023")</f>
        <v/>
      </c>
      <c r="AB99">
        <f>HYPERLINK("https://klasma.github.io/Logging_0880/klagomålsmail/A 21522-2023 FSC-klagomål mail.docx", "A 21522-2023")</f>
        <v/>
      </c>
      <c r="AC99">
        <f>HYPERLINK("https://klasma.github.io/Logging_0880/tillsyn/A 21522-2023 tillsynsbegäran.docx", "A 21522-2023")</f>
        <v/>
      </c>
      <c r="AD99">
        <f>HYPERLINK("https://klasma.github.io/Logging_0880/tillsynsmail/A 21522-2023 tillsynsbegäran mail.docx", "A 21522-2023")</f>
        <v/>
      </c>
      <c r="AE99">
        <f>HYPERLINK("https://klasma.github.io/Logging_0880/fåglar/A 21522-2023 prioriterade fågelarter.docx", "A 21522-2023")</f>
        <v/>
      </c>
    </row>
    <row r="100" ht="15" customHeight="1">
      <c r="A100" t="inlineStr">
        <is>
          <t>A 3401-2023</t>
        </is>
      </c>
      <c r="B100" t="inlineStr">
        <is>
          <t>avverkningsanmälan</t>
        </is>
      </c>
      <c r="C100" t="inlineStr">
        <is>
          <t>Föryngringsavverkning</t>
        </is>
      </c>
      <c r="D100" s="1" t="n">
        <v>44949</v>
      </c>
      <c r="E100" s="1" t="n">
        <v>46272</v>
      </c>
      <c r="F100" t="inlineStr">
        <is>
          <t>KALMAR LÄN</t>
        </is>
      </c>
      <c r="G100" t="inlineStr">
        <is>
          <t>KALMAR</t>
        </is>
      </c>
      <c r="I100" t="n">
        <v>2.6</v>
      </c>
      <c r="J100" t="n">
        <v>1</v>
      </c>
      <c r="K100" t="n">
        <v>0</v>
      </c>
      <c r="L100" t="n">
        <v>0</v>
      </c>
      <c r="M100" t="n">
        <v>0</v>
      </c>
      <c r="N100" t="n">
        <v>0</v>
      </c>
      <c r="O100" t="n">
        <v>0</v>
      </c>
      <c r="P100" t="n">
        <v>0</v>
      </c>
      <c r="Q100" t="n">
        <v>0</v>
      </c>
      <c r="R100" t="n">
        <v>0</v>
      </c>
      <c r="S100" t="n">
        <v>1</v>
      </c>
      <c r="T100" t="n">
        <v>1</v>
      </c>
      <c r="U100" t="n">
        <v>0</v>
      </c>
      <c r="V100" s="2" t="inlineStr">
        <is>
          <t>Mattlummer</t>
        </is>
      </c>
      <c r="W100">
        <f>HYPERLINK("https://klasma.github.io/Logging_0880/artfynd/A 3401-2023 artfynd.xlsx", "A 3401-2023")</f>
        <v/>
      </c>
      <c r="X100">
        <f>HYPERLINK("https://klasma.github.io/Logging_0880/kartor/A 3401-2023 karta.png", "A 3401-2023")</f>
        <v/>
      </c>
      <c r="Y100">
        <f>HYPERLINK("https://klasma.github.io/Logging_0880/kartor_geotiff/A 3401-2023 georefererad karta.tif", "A 3401-2023")</f>
        <v/>
      </c>
      <c r="AA100">
        <f>HYPERLINK("https://klasma.github.io/Logging_0880/klagomål/A 3401-2023 FSC-klagomål.docx", "A 3401-2023")</f>
        <v/>
      </c>
      <c r="AB100">
        <f>HYPERLINK("https://klasma.github.io/Logging_0880/klagomålsmail/A 3401-2023 FSC-klagomål mail.docx", "A 3401-2023")</f>
        <v/>
      </c>
      <c r="AC100">
        <f>HYPERLINK("https://klasma.github.io/Logging_0880/tillsyn/A 3401-2023 tillsynsbegäran.docx", "A 3401-2023")</f>
        <v/>
      </c>
      <c r="AD100">
        <f>HYPERLINK("https://klasma.github.io/Logging_0880/tillsynsmail/A 3401-2023 tillsynsbegäran mail.docx", "A 3401-2023")</f>
        <v/>
      </c>
    </row>
    <row r="101" ht="15" customHeight="1">
      <c r="A101" t="inlineStr">
        <is>
          <t>A 31556-2023</t>
        </is>
      </c>
      <c r="B101" t="inlineStr">
        <is>
          <t>avverkningsanmälan</t>
        </is>
      </c>
      <c r="C101" t="inlineStr">
        <is>
          <t>Föryngringsavverkning</t>
        </is>
      </c>
      <c r="D101" s="1" t="n">
        <v>45117</v>
      </c>
      <c r="E101" s="1" t="n">
        <v>46272</v>
      </c>
      <c r="F101" t="inlineStr">
        <is>
          <t>KALMAR LÄN</t>
        </is>
      </c>
      <c r="G101" t="inlineStr">
        <is>
          <t>KALMAR</t>
        </is>
      </c>
      <c r="I101" t="n">
        <v>11</v>
      </c>
      <c r="J101" t="n">
        <v>0</v>
      </c>
      <c r="K101" t="n">
        <v>1</v>
      </c>
      <c r="L101" t="n">
        <v>0</v>
      </c>
      <c r="M101" t="n">
        <v>0</v>
      </c>
      <c r="N101" t="n">
        <v>0</v>
      </c>
      <c r="O101" t="n">
        <v>0</v>
      </c>
      <c r="P101" t="n">
        <v>0</v>
      </c>
      <c r="Q101" t="n">
        <v>0</v>
      </c>
      <c r="R101" t="n">
        <v>0</v>
      </c>
      <c r="S101" t="n">
        <v>1</v>
      </c>
      <c r="T101" t="n">
        <v>1</v>
      </c>
      <c r="U101" t="n">
        <v>1</v>
      </c>
      <c r="V101" s="2" t="inlineStr">
        <is>
          <t>Murgröna</t>
        </is>
      </c>
      <c r="W101">
        <f>HYPERLINK("https://klasma.github.io/Logging_0880/artfynd/A 31556-2023 artfynd.xlsx", "A 31556-2023")</f>
        <v/>
      </c>
      <c r="X101">
        <f>HYPERLINK("https://klasma.github.io/Logging_0880/kartor/A 31556-2023 karta.png", "A 31556-2023")</f>
        <v/>
      </c>
      <c r="Y101">
        <f>HYPERLINK("https://klasma.github.io/Logging_0880/kartor_geotiff/A 31556-2023 georefererad karta.tif", "A 31556-2023")</f>
        <v/>
      </c>
      <c r="AA101">
        <f>HYPERLINK("https://klasma.github.io/Logging_0880/klagomål/A 31556-2023 FSC-klagomål.docx", "A 31556-2023")</f>
        <v/>
      </c>
      <c r="AB101">
        <f>HYPERLINK("https://klasma.github.io/Logging_0880/klagomålsmail/A 31556-2023 FSC-klagomål mail.docx", "A 31556-2023")</f>
        <v/>
      </c>
      <c r="AC101">
        <f>HYPERLINK("https://klasma.github.io/Logging_0880/tillsyn/A 31556-2023 tillsynsbegäran.docx", "A 31556-2023")</f>
        <v/>
      </c>
      <c r="AD101">
        <f>HYPERLINK("https://klasma.github.io/Logging_0880/tillsynsmail/A 31556-2023 tillsynsbegäran mail.docx", "A 31556-2023")</f>
        <v/>
      </c>
    </row>
    <row r="102" ht="15" customHeight="1">
      <c r="A102" t="inlineStr">
        <is>
          <t>A 24588-2023</t>
        </is>
      </c>
      <c r="B102" t="inlineStr">
        <is>
          <t>avverkningsanmälan</t>
        </is>
      </c>
      <c r="C102" t="inlineStr">
        <is>
          <t>Föryngringsavverkning</t>
        </is>
      </c>
      <c r="D102" s="1" t="n">
        <v>45083</v>
      </c>
      <c r="E102" s="1" t="n">
        <v>46272</v>
      </c>
      <c r="F102" t="inlineStr">
        <is>
          <t>KALMAR LÄN</t>
        </is>
      </c>
      <c r="G102" t="inlineStr">
        <is>
          <t>KALMAR</t>
        </is>
      </c>
      <c r="I102" t="n">
        <v>3.3</v>
      </c>
      <c r="J102" t="n">
        <v>1</v>
      </c>
      <c r="K102" t="n">
        <v>0</v>
      </c>
      <c r="L102" t="n">
        <v>0</v>
      </c>
      <c r="M102" t="n">
        <v>0</v>
      </c>
      <c r="N102" t="n">
        <v>0</v>
      </c>
      <c r="O102" t="n">
        <v>0</v>
      </c>
      <c r="P102" t="n">
        <v>0</v>
      </c>
      <c r="Q102" t="n">
        <v>0</v>
      </c>
      <c r="R102" t="n">
        <v>0</v>
      </c>
      <c r="S102" t="n">
        <v>1</v>
      </c>
      <c r="T102" t="n">
        <v>1</v>
      </c>
      <c r="U102" t="n">
        <v>0</v>
      </c>
      <c r="V102" s="2" t="inlineStr">
        <is>
          <t>Skogsduva</t>
        </is>
      </c>
      <c r="W102">
        <f>HYPERLINK("https://klasma.github.io/Logging_0880/artfynd/A 24588-2023 artfynd.xlsx", "A 24588-2023")</f>
        <v/>
      </c>
      <c r="X102">
        <f>HYPERLINK("https://klasma.github.io/Logging_0880/kartor/A 24588-2023 karta.png", "A 24588-2023")</f>
        <v/>
      </c>
      <c r="Y102">
        <f>HYPERLINK("https://klasma.github.io/Logging_0880/kartor_geotiff/A 24588-2023 georefererad karta.tif", "A 24588-2023")</f>
        <v/>
      </c>
      <c r="AA102">
        <f>HYPERLINK("https://klasma.github.io/Logging_0880/klagomål/A 24588-2023 FSC-klagomål.docx", "A 24588-2023")</f>
        <v/>
      </c>
      <c r="AB102">
        <f>HYPERLINK("https://klasma.github.io/Logging_0880/klagomålsmail/A 24588-2023 FSC-klagomål mail.docx", "A 24588-2023")</f>
        <v/>
      </c>
      <c r="AC102">
        <f>HYPERLINK("https://klasma.github.io/Logging_0880/tillsyn/A 24588-2023 tillsynsbegäran.docx", "A 24588-2023")</f>
        <v/>
      </c>
      <c r="AD102">
        <f>HYPERLINK("https://klasma.github.io/Logging_0880/tillsynsmail/A 24588-2023 tillsynsbegäran mail.docx", "A 24588-2023")</f>
        <v/>
      </c>
    </row>
    <row r="103" ht="15" customHeight="1">
      <c r="A103" t="inlineStr">
        <is>
          <t>A 25506-2026</t>
        </is>
      </c>
      <c r="B103" t="inlineStr">
        <is>
          <t>avverkningsanmälan</t>
        </is>
      </c>
      <c r="C103" t="inlineStr">
        <is>
          <t>Föryngringsavverkning</t>
        </is>
      </c>
      <c r="D103" s="1" t="n">
        <v>46177</v>
      </c>
      <c r="E103" s="1" t="n">
        <v>46272</v>
      </c>
      <c r="F103" t="inlineStr">
        <is>
          <t>KALMAR LÄN</t>
        </is>
      </c>
      <c r="G103" t="inlineStr">
        <is>
          <t>KALMAR</t>
        </is>
      </c>
      <c r="H103" t="inlineStr">
        <is>
          <t>Sveaskog</t>
        </is>
      </c>
      <c r="I103" t="n">
        <v>8.199999999999999</v>
      </c>
      <c r="J103" t="n">
        <v>1</v>
      </c>
      <c r="K103" t="n">
        <v>0</v>
      </c>
      <c r="L103" t="n">
        <v>0</v>
      </c>
      <c r="M103" t="n">
        <v>0</v>
      </c>
      <c r="N103" t="n">
        <v>0</v>
      </c>
      <c r="O103" t="n">
        <v>0</v>
      </c>
      <c r="P103" t="n">
        <v>0</v>
      </c>
      <c r="Q103" t="n">
        <v>0</v>
      </c>
      <c r="R103" t="n">
        <v>0</v>
      </c>
      <c r="S103" t="n">
        <v>1</v>
      </c>
      <c r="T103" t="n">
        <v>3</v>
      </c>
      <c r="U103" t="n">
        <v>0</v>
      </c>
      <c r="V103" s="2" t="inlineStr">
        <is>
          <t>Tjäder</t>
        </is>
      </c>
      <c r="W103">
        <f>HYPERLINK("https://klasma.github.io/Logging_0880/artfynd/A 25506-2026 artfynd.xlsx", "A 25506-2026")</f>
        <v/>
      </c>
      <c r="X103">
        <f>HYPERLINK("https://klasma.github.io/Logging_0880/kartor/A 25506-2026 karta.png", "A 25506-2026")</f>
        <v/>
      </c>
      <c r="Y103">
        <f>HYPERLINK("https://klasma.github.io/Logging_0880/kartor_geotiff/A 25506-2026 georefererad karta.tif", "A 25506-2026")</f>
        <v/>
      </c>
      <c r="AA103">
        <f>HYPERLINK("https://klasma.github.io/Logging_0880/klagomål/A 25506-2026 FSC-klagomål.docx", "A 25506-2026")</f>
        <v/>
      </c>
      <c r="AB103">
        <f>HYPERLINK("https://klasma.github.io/Logging_0880/klagomålsmail/A 25506-2026 FSC-klagomål mail.docx", "A 25506-2026")</f>
        <v/>
      </c>
      <c r="AC103">
        <f>HYPERLINK("https://klasma.github.io/Logging_0880/tillsyn/A 25506-2026 tillsynsbegäran.docx", "A 25506-2026")</f>
        <v/>
      </c>
      <c r="AD103">
        <f>HYPERLINK("https://klasma.github.io/Logging_0880/tillsynsmail/A 25506-2026 tillsynsbegäran mail.docx", "A 25506-2026")</f>
        <v/>
      </c>
      <c r="AE103">
        <f>HYPERLINK("https://klasma.github.io/Logging_0880/fåglar/A 25506-2026 prioriterade fågelarter.docx", "A 25506-2026")</f>
        <v/>
      </c>
    </row>
    <row r="104" ht="15" customHeight="1">
      <c r="A104" t="inlineStr">
        <is>
          <t>A 27199-2026</t>
        </is>
      </c>
      <c r="B104" t="inlineStr">
        <is>
          <t>avverkningsanmälan</t>
        </is>
      </c>
      <c r="C104" t="inlineStr">
        <is>
          <t>Föryngringsavverkning</t>
        </is>
      </c>
      <c r="D104" s="1" t="n">
        <v>46188</v>
      </c>
      <c r="E104" s="1" t="n">
        <v>46272</v>
      </c>
      <c r="F104" t="inlineStr">
        <is>
          <t>KALMAR LÄN</t>
        </is>
      </c>
      <c r="G104" t="inlineStr">
        <is>
          <t>KALMAR</t>
        </is>
      </c>
      <c r="I104" t="n">
        <v>1.6</v>
      </c>
      <c r="J104" t="n">
        <v>0</v>
      </c>
      <c r="K104" t="n">
        <v>1</v>
      </c>
      <c r="L104" t="n">
        <v>0</v>
      </c>
      <c r="M104" t="n">
        <v>0</v>
      </c>
      <c r="N104" t="n">
        <v>0</v>
      </c>
      <c r="O104" t="n">
        <v>0</v>
      </c>
      <c r="P104" t="n">
        <v>0</v>
      </c>
      <c r="Q104" t="n">
        <v>0</v>
      </c>
      <c r="R104" t="n">
        <v>0</v>
      </c>
      <c r="S104" t="n">
        <v>1</v>
      </c>
      <c r="T104" t="n">
        <v>1</v>
      </c>
      <c r="U104" t="n">
        <v>0</v>
      </c>
      <c r="V104" s="2" t="inlineStr">
        <is>
          <t>Blåmossa</t>
        </is>
      </c>
      <c r="W104">
        <f>HYPERLINK("https://klasma.github.io/Logging_0880/artfynd/A 27199-2026 artfynd.xlsx", "A 27199-2026")</f>
        <v/>
      </c>
      <c r="X104">
        <f>HYPERLINK("https://klasma.github.io/Logging_0880/kartor/A 27199-2026 karta.png", "A 27199-2026")</f>
        <v/>
      </c>
      <c r="Y104">
        <f>HYPERLINK("https://klasma.github.io/Logging_0880/kartor_geotiff/A 27199-2026 georefererad karta.tif", "A 27199-2026")</f>
        <v/>
      </c>
      <c r="AA104">
        <f>HYPERLINK("https://klasma.github.io/Logging_0880/klagomål/A 27199-2026 FSC-klagomål.docx", "A 27199-2026")</f>
        <v/>
      </c>
      <c r="AB104">
        <f>HYPERLINK("https://klasma.github.io/Logging_0880/klagomålsmail/A 27199-2026 FSC-klagomål mail.docx", "A 27199-2026")</f>
        <v/>
      </c>
      <c r="AC104">
        <f>HYPERLINK("https://klasma.github.io/Logging_0880/tillsyn/A 27199-2026 tillsynsbegäran.docx", "A 27199-2026")</f>
        <v/>
      </c>
      <c r="AD104">
        <f>HYPERLINK("https://klasma.github.io/Logging_0880/tillsynsmail/A 27199-2026 tillsynsbegäran mail.docx", "A 27199-2026")</f>
        <v/>
      </c>
    </row>
    <row r="105" ht="15" customHeight="1">
      <c r="A105" t="inlineStr">
        <is>
          <t>A 750-2023</t>
        </is>
      </c>
      <c r="B105" t="inlineStr">
        <is>
          <t>avverkningsanmälan</t>
        </is>
      </c>
      <c r="C105" t="inlineStr">
        <is>
          <t>Föryngringsavverkning</t>
        </is>
      </c>
      <c r="D105" s="1" t="n">
        <v>44931</v>
      </c>
      <c r="E105" s="1" t="n">
        <v>46272</v>
      </c>
      <c r="F105" t="inlineStr">
        <is>
          <t>KALMAR LÄN</t>
        </is>
      </c>
      <c r="G105" t="inlineStr">
        <is>
          <t>KALMAR</t>
        </is>
      </c>
      <c r="I105" t="n">
        <v>2.3</v>
      </c>
      <c r="J105" t="n">
        <v>0</v>
      </c>
      <c r="K105" t="n">
        <v>1</v>
      </c>
      <c r="L105" t="n">
        <v>0</v>
      </c>
      <c r="M105" t="n">
        <v>0</v>
      </c>
      <c r="N105" t="n">
        <v>0</v>
      </c>
      <c r="O105" t="n">
        <v>0</v>
      </c>
      <c r="P105" t="n">
        <v>0</v>
      </c>
      <c r="Q105" t="n">
        <v>0</v>
      </c>
      <c r="R105" t="n">
        <v>0</v>
      </c>
      <c r="S105" t="n">
        <v>1</v>
      </c>
      <c r="T105" t="n">
        <v>1</v>
      </c>
      <c r="U105" t="n">
        <v>0</v>
      </c>
      <c r="V105" s="2" t="inlineStr">
        <is>
          <t>Blomkålssvamp</t>
        </is>
      </c>
      <c r="W105">
        <f>HYPERLINK("https://klasma.github.io/Logging_0880/artfynd/A 750-2023 artfynd.xlsx", "A 750-2023")</f>
        <v/>
      </c>
      <c r="X105">
        <f>HYPERLINK("https://klasma.github.io/Logging_0880/kartor/A 750-2023 karta.png", "A 750-2023")</f>
        <v/>
      </c>
      <c r="Y105">
        <f>HYPERLINK("https://klasma.github.io/Logging_0880/kartor_geotiff/A 750-2023 georefererad karta.tif", "A 750-2023")</f>
        <v/>
      </c>
      <c r="AA105">
        <f>HYPERLINK("https://klasma.github.io/Logging_0880/klagomål/A 750-2023 FSC-klagomål.docx", "A 750-2023")</f>
        <v/>
      </c>
      <c r="AB105">
        <f>HYPERLINK("https://klasma.github.io/Logging_0880/klagomålsmail/A 750-2023 FSC-klagomål mail.docx", "A 750-2023")</f>
        <v/>
      </c>
      <c r="AC105">
        <f>HYPERLINK("https://klasma.github.io/Logging_0880/tillsyn/A 750-2023 tillsynsbegäran.docx", "A 750-2023")</f>
        <v/>
      </c>
      <c r="AD105">
        <f>HYPERLINK("https://klasma.github.io/Logging_0880/tillsynsmail/A 750-2023 tillsynsbegäran mail.docx", "A 750-2023")</f>
        <v/>
      </c>
    </row>
    <row r="106" ht="15" customHeight="1">
      <c r="A106" t="inlineStr">
        <is>
          <t>A 28912-2026</t>
        </is>
      </c>
      <c r="B106" t="inlineStr">
        <is>
          <t>avverkningsanmälan</t>
        </is>
      </c>
      <c r="C106" t="inlineStr">
        <is>
          <t>Föryngringsavverkning</t>
        </is>
      </c>
      <c r="D106" s="1" t="n">
        <v>46199</v>
      </c>
      <c r="E106" s="1" t="n">
        <v>46272</v>
      </c>
      <c r="F106" t="inlineStr">
        <is>
          <t>KALMAR LÄN</t>
        </is>
      </c>
      <c r="G106" t="inlineStr">
        <is>
          <t>KALMAR</t>
        </is>
      </c>
      <c r="I106" t="n">
        <v>8.6</v>
      </c>
      <c r="J106" t="n">
        <v>0</v>
      </c>
      <c r="K106" t="n">
        <v>0</v>
      </c>
      <c r="L106" t="n">
        <v>1</v>
      </c>
      <c r="M106" t="n">
        <v>0</v>
      </c>
      <c r="N106" t="n">
        <v>0</v>
      </c>
      <c r="O106" t="n">
        <v>0</v>
      </c>
      <c r="P106" t="n">
        <v>0</v>
      </c>
      <c r="Q106" t="n">
        <v>1</v>
      </c>
      <c r="R106" t="n">
        <v>0</v>
      </c>
      <c r="S106" t="n">
        <v>1</v>
      </c>
      <c r="T106" t="n">
        <v>1</v>
      </c>
      <c r="U106" t="n">
        <v>0</v>
      </c>
      <c r="V106" s="2" t="inlineStr">
        <is>
          <t>Backtimjan</t>
        </is>
      </c>
      <c r="W106">
        <f>HYPERLINK("https://klasma.github.io/Logging_0880/artfynd/A 28912-2026 artfynd.xlsx", "A 28912-2026")</f>
        <v/>
      </c>
      <c r="X106">
        <f>HYPERLINK("https://klasma.github.io/Logging_0880/kartor/A 28912-2026 karta.png", "A 28912-2026")</f>
        <v/>
      </c>
      <c r="Y106">
        <f>HYPERLINK("https://klasma.github.io/Logging_0880/kartor_geotiff/A 28912-2026 georefererad karta.tif", "A 28912-2026")</f>
        <v/>
      </c>
      <c r="AA106">
        <f>HYPERLINK("https://klasma.github.io/Logging_0880/klagomål/A 28912-2026 FSC-klagomål.docx", "A 28912-2026")</f>
        <v/>
      </c>
      <c r="AB106">
        <f>HYPERLINK("https://klasma.github.io/Logging_0880/klagomålsmail/A 28912-2026 FSC-klagomål mail.docx", "A 28912-2026")</f>
        <v/>
      </c>
      <c r="AC106">
        <f>HYPERLINK("https://klasma.github.io/Logging_0880/tillsyn/A 28912-2026 tillsynsbegäran.docx", "A 28912-2026")</f>
        <v/>
      </c>
      <c r="AD106">
        <f>HYPERLINK("https://klasma.github.io/Logging_0880/tillsynsmail/A 28912-2026 tillsynsbegäran mail.docx", "A 28912-2026")</f>
        <v/>
      </c>
    </row>
    <row r="107" ht="15" customHeight="1">
      <c r="A107" t="inlineStr">
        <is>
          <t>A 25732-2023</t>
        </is>
      </c>
      <c r="B107" t="inlineStr">
        <is>
          <t>avverkningsanmälan</t>
        </is>
      </c>
      <c r="C107" t="inlineStr">
        <is>
          <t>Föryngringsavverkning</t>
        </is>
      </c>
      <c r="D107" s="1" t="n">
        <v>45090</v>
      </c>
      <c r="E107" s="1" t="n">
        <v>46272</v>
      </c>
      <c r="F107" t="inlineStr">
        <is>
          <t>KALMAR LÄN</t>
        </is>
      </c>
      <c r="G107" t="inlineStr">
        <is>
          <t>KALMAR</t>
        </is>
      </c>
      <c r="I107" t="n">
        <v>3.2</v>
      </c>
      <c r="J107" t="n">
        <v>0</v>
      </c>
      <c r="K107" t="n">
        <v>0</v>
      </c>
      <c r="L107" t="n">
        <v>1</v>
      </c>
      <c r="M107" t="n">
        <v>0</v>
      </c>
      <c r="N107" t="n">
        <v>0</v>
      </c>
      <c r="O107" t="n">
        <v>0</v>
      </c>
      <c r="P107" t="n">
        <v>0</v>
      </c>
      <c r="Q107" t="n">
        <v>1</v>
      </c>
      <c r="R107" t="n">
        <v>0</v>
      </c>
      <c r="S107" t="n">
        <v>1</v>
      </c>
      <c r="T107" t="n">
        <v>1</v>
      </c>
      <c r="U107" t="n">
        <v>0</v>
      </c>
      <c r="V107" s="2" t="inlineStr">
        <is>
          <t>Spinnfingersvamp</t>
        </is>
      </c>
      <c r="W107">
        <f>HYPERLINK("https://klasma.github.io/Logging_0880/artfynd/A 25732-2023 artfynd.xlsx", "A 25732-2023")</f>
        <v/>
      </c>
      <c r="X107">
        <f>HYPERLINK("https://klasma.github.io/Logging_0880/kartor/A 25732-2023 karta.png", "A 25732-2023")</f>
        <v/>
      </c>
      <c r="Y107">
        <f>HYPERLINK("https://klasma.github.io/Logging_0880/kartor_geotiff/A 25732-2023 georefererad karta.tif", "A 25732-2023")</f>
        <v/>
      </c>
      <c r="AA107">
        <f>HYPERLINK("https://klasma.github.io/Logging_0880/klagomål/A 25732-2023 FSC-klagomål.docx", "A 25732-2023")</f>
        <v/>
      </c>
      <c r="AB107">
        <f>HYPERLINK("https://klasma.github.io/Logging_0880/klagomålsmail/A 25732-2023 FSC-klagomål mail.docx", "A 25732-2023")</f>
        <v/>
      </c>
      <c r="AC107">
        <f>HYPERLINK("https://klasma.github.io/Logging_0880/tillsyn/A 25732-2023 tillsynsbegäran.docx", "A 25732-2023")</f>
        <v/>
      </c>
      <c r="AD107">
        <f>HYPERLINK("https://klasma.github.io/Logging_0880/tillsynsmail/A 25732-2023 tillsynsbegäran mail.docx", "A 25732-2023")</f>
        <v/>
      </c>
    </row>
    <row r="108" ht="15" customHeight="1">
      <c r="A108" t="inlineStr">
        <is>
          <t>A 33384-2026</t>
        </is>
      </c>
      <c r="B108" t="inlineStr">
        <is>
          <t>avverkningsanmälan</t>
        </is>
      </c>
      <c r="C108" t="inlineStr">
        <is>
          <t>Föryngringsavverkning</t>
        </is>
      </c>
      <c r="D108" s="1" t="n">
        <v>46247</v>
      </c>
      <c r="E108" s="1" t="n">
        <v>46272</v>
      </c>
      <c r="F108" t="inlineStr">
        <is>
          <t>KALMAR LÄN</t>
        </is>
      </c>
      <c r="G108" t="inlineStr">
        <is>
          <t>KALMAR</t>
        </is>
      </c>
      <c r="I108" t="n">
        <v>0.8</v>
      </c>
      <c r="J108" t="n">
        <v>0</v>
      </c>
      <c r="K108" t="n">
        <v>0</v>
      </c>
      <c r="L108" t="n">
        <v>0</v>
      </c>
      <c r="M108" t="n">
        <v>1</v>
      </c>
      <c r="N108" t="n">
        <v>0</v>
      </c>
      <c r="O108" t="n">
        <v>0</v>
      </c>
      <c r="P108" t="n">
        <v>0</v>
      </c>
      <c r="Q108" t="n">
        <v>1</v>
      </c>
      <c r="R108" t="n">
        <v>1</v>
      </c>
      <c r="S108" t="n">
        <v>1</v>
      </c>
      <c r="T108" t="n">
        <v>1</v>
      </c>
      <c r="U108" t="n">
        <v>0</v>
      </c>
      <c r="V108" s="2" t="inlineStr">
        <is>
          <t>Mindre bastardsvärmare</t>
        </is>
      </c>
      <c r="W108">
        <f>HYPERLINK("https://klasma.github.io/Logging_0880/artfynd/A 33384-2026 artfynd.xlsx", "A 33384-2026")</f>
        <v/>
      </c>
      <c r="X108">
        <f>HYPERLINK("https://klasma.github.io/Logging_0880/kartor/A 33384-2026 karta.png", "A 33384-2026")</f>
        <v/>
      </c>
      <c r="Y108">
        <f>HYPERLINK("https://klasma.github.io/Logging_0880/kartor_geotiff/A 33384-2026 georefererad karta.tif", "A 33384-2026")</f>
        <v/>
      </c>
      <c r="AA108">
        <f>HYPERLINK("https://klasma.github.io/Logging_0880/klagomål/A 33384-2026 FSC-klagomål.docx", "A 33384-2026")</f>
        <v/>
      </c>
      <c r="AB108">
        <f>HYPERLINK("https://klasma.github.io/Logging_0880/klagomålsmail/A 33384-2026 FSC-klagomål mail.docx", "A 33384-2026")</f>
        <v/>
      </c>
      <c r="AC108">
        <f>HYPERLINK("https://klasma.github.io/Logging_0880/tillsyn/A 33384-2026 tillsynsbegäran.docx", "A 33384-2026")</f>
        <v/>
      </c>
      <c r="AD108">
        <f>HYPERLINK("https://klasma.github.io/Logging_0880/tillsynsmail/A 33384-2026 tillsynsbegäran mail.docx", "A 33384-2026")</f>
        <v/>
      </c>
    </row>
    <row r="109" ht="15" customHeight="1">
      <c r="A109" t="inlineStr">
        <is>
          <t>A 33385-2026</t>
        </is>
      </c>
      <c r="B109" t="inlineStr">
        <is>
          <t>avverkningsanmälan</t>
        </is>
      </c>
      <c r="C109" t="inlineStr">
        <is>
          <t>Föryngringsavverkning</t>
        </is>
      </c>
      <c r="D109" s="1" t="n">
        <v>46247</v>
      </c>
      <c r="E109" s="1" t="n">
        <v>46272</v>
      </c>
      <c r="F109" t="inlineStr">
        <is>
          <t>KALMAR LÄN</t>
        </is>
      </c>
      <c r="G109" t="inlineStr">
        <is>
          <t>KALMAR</t>
        </is>
      </c>
      <c r="H109" t="inlineStr">
        <is>
          <t>Sveaskog</t>
        </is>
      </c>
      <c r="I109" t="n">
        <v>11.2</v>
      </c>
      <c r="J109" t="n">
        <v>1</v>
      </c>
      <c r="K109" t="n">
        <v>0</v>
      </c>
      <c r="L109" t="n">
        <v>0</v>
      </c>
      <c r="M109" t="n">
        <v>0</v>
      </c>
      <c r="N109" t="n">
        <v>0</v>
      </c>
      <c r="O109" t="n">
        <v>0</v>
      </c>
      <c r="P109" t="n">
        <v>0</v>
      </c>
      <c r="Q109" t="n">
        <v>0</v>
      </c>
      <c r="R109" t="n">
        <v>0</v>
      </c>
      <c r="S109" t="n">
        <v>1</v>
      </c>
      <c r="T109" t="n">
        <v>1</v>
      </c>
      <c r="U109" t="n">
        <v>0</v>
      </c>
      <c r="V109" s="2" t="inlineStr">
        <is>
          <t>Orre</t>
        </is>
      </c>
      <c r="W109">
        <f>HYPERLINK("https://klasma.github.io/Logging_0880/artfynd/A 33385-2026 artfynd.xlsx", "A 33385-2026")</f>
        <v/>
      </c>
      <c r="X109">
        <f>HYPERLINK("https://klasma.github.io/Logging_0880/kartor/A 33385-2026 karta.png", "A 33385-2026")</f>
        <v/>
      </c>
      <c r="Y109">
        <f>HYPERLINK("https://klasma.github.io/Logging_0880/kartor_geotiff/A 33385-2026 georefererad karta.tif", "A 33385-2026")</f>
        <v/>
      </c>
      <c r="AA109">
        <f>HYPERLINK("https://klasma.github.io/Logging_0880/klagomål/A 33385-2026 FSC-klagomål.docx", "A 33385-2026")</f>
        <v/>
      </c>
      <c r="AB109">
        <f>HYPERLINK("https://klasma.github.io/Logging_0880/klagomålsmail/A 33385-2026 FSC-klagomål mail.docx", "A 33385-2026")</f>
        <v/>
      </c>
      <c r="AC109">
        <f>HYPERLINK("https://klasma.github.io/Logging_0880/tillsyn/A 33385-2026 tillsynsbegäran.docx", "A 33385-2026")</f>
        <v/>
      </c>
      <c r="AD109">
        <f>HYPERLINK("https://klasma.github.io/Logging_0880/tillsynsmail/A 33385-2026 tillsynsbegäran mail.docx", "A 33385-2026")</f>
        <v/>
      </c>
      <c r="AE109">
        <f>HYPERLINK("https://klasma.github.io/Logging_0880/fåglar/A 33385-2026 prioriterade fågelarter.docx", "A 33385-2026")</f>
        <v/>
      </c>
    </row>
    <row r="110" ht="15" customHeight="1">
      <c r="A110" t="inlineStr">
        <is>
          <t>A 764-2023</t>
        </is>
      </c>
      <c r="B110" t="inlineStr">
        <is>
          <t>avverkningsanmälan</t>
        </is>
      </c>
      <c r="C110" t="inlineStr">
        <is>
          <t>Föryngringsavverkning</t>
        </is>
      </c>
      <c r="D110" s="1" t="n">
        <v>44931</v>
      </c>
      <c r="E110" s="1" t="n">
        <v>46272</v>
      </c>
      <c r="F110" t="inlineStr">
        <is>
          <t>KALMAR LÄN</t>
        </is>
      </c>
      <c r="G110" t="inlineStr">
        <is>
          <t>KALMAR</t>
        </is>
      </c>
      <c r="I110" t="n">
        <v>4.1</v>
      </c>
      <c r="J110" t="n">
        <v>0</v>
      </c>
      <c r="K110" t="n">
        <v>1</v>
      </c>
      <c r="L110" t="n">
        <v>0</v>
      </c>
      <c r="M110" t="n">
        <v>0</v>
      </c>
      <c r="N110" t="n">
        <v>0</v>
      </c>
      <c r="O110" t="n">
        <v>0</v>
      </c>
      <c r="P110" t="n">
        <v>0</v>
      </c>
      <c r="Q110" t="n">
        <v>0</v>
      </c>
      <c r="R110" t="n">
        <v>0</v>
      </c>
      <c r="S110" t="n">
        <v>1</v>
      </c>
      <c r="T110" t="n">
        <v>4</v>
      </c>
      <c r="U110" t="n">
        <v>4</v>
      </c>
      <c r="V110" s="2" t="inlineStr">
        <is>
          <t>Blåmossa</t>
        </is>
      </c>
      <c r="W110">
        <f>HYPERLINK("https://klasma.github.io/Logging_0880/artfynd/A 764-2023 artfynd.xlsx", "A 764-2023")</f>
        <v/>
      </c>
      <c r="X110">
        <f>HYPERLINK("https://klasma.github.io/Logging_0880/kartor/A 764-2023 karta.png", "A 764-2023")</f>
        <v/>
      </c>
      <c r="Y110">
        <f>HYPERLINK("https://klasma.github.io/Logging_0880/kartor_geotiff/A 764-2023 georefererad karta.tif", "A 764-2023")</f>
        <v/>
      </c>
      <c r="AA110">
        <f>HYPERLINK("https://klasma.github.io/Logging_0880/klagomål/A 764-2023 FSC-klagomål.docx", "A 764-2023")</f>
        <v/>
      </c>
      <c r="AB110">
        <f>HYPERLINK("https://klasma.github.io/Logging_0880/klagomålsmail/A 764-2023 FSC-klagomål mail.docx", "A 764-2023")</f>
        <v/>
      </c>
      <c r="AC110">
        <f>HYPERLINK("https://klasma.github.io/Logging_0880/tillsyn/A 764-2023 tillsynsbegäran.docx", "A 764-2023")</f>
        <v/>
      </c>
      <c r="AD110">
        <f>HYPERLINK("https://klasma.github.io/Logging_0880/tillsynsmail/A 764-2023 tillsynsbegäran mail.docx", "A 764-2023")</f>
        <v/>
      </c>
    </row>
    <row r="111" ht="15" customHeight="1">
      <c r="A111" t="inlineStr">
        <is>
          <t>A 13725-2023</t>
        </is>
      </c>
      <c r="B111" t="inlineStr">
        <is>
          <t>avverkningsanmälan</t>
        </is>
      </c>
      <c r="C111" t="inlineStr">
        <is>
          <t>Föryngringsavverkning</t>
        </is>
      </c>
      <c r="D111" s="1" t="n">
        <v>45007</v>
      </c>
      <c r="E111" s="1" t="n">
        <v>46272</v>
      </c>
      <c r="F111" t="inlineStr">
        <is>
          <t>KALMAR LÄN</t>
        </is>
      </c>
      <c r="G111" t="inlineStr">
        <is>
          <t>KALMAR</t>
        </is>
      </c>
      <c r="I111" t="n">
        <v>2.2</v>
      </c>
      <c r="J111" t="n">
        <v>1</v>
      </c>
      <c r="K111" t="n">
        <v>0</v>
      </c>
      <c r="L111" t="n">
        <v>1</v>
      </c>
      <c r="M111" t="n">
        <v>0</v>
      </c>
      <c r="N111" t="n">
        <v>0</v>
      </c>
      <c r="O111" t="n">
        <v>0</v>
      </c>
      <c r="P111" t="n">
        <v>0</v>
      </c>
      <c r="Q111" t="n">
        <v>1</v>
      </c>
      <c r="R111" t="n">
        <v>0</v>
      </c>
      <c r="S111" t="n">
        <v>1</v>
      </c>
      <c r="T111" t="n">
        <v>1</v>
      </c>
      <c r="U111" t="n">
        <v>1</v>
      </c>
      <c r="V111" s="2" t="inlineStr">
        <is>
          <t>Gulsparv</t>
        </is>
      </c>
      <c r="W111">
        <f>HYPERLINK("https://klasma.github.io/Logging_0880/artfynd/A 13725-2023 artfynd.xlsx", "A 13725-2023")</f>
        <v/>
      </c>
      <c r="X111">
        <f>HYPERLINK("https://klasma.github.io/Logging_0880/kartor/A 13725-2023 karta.png", "A 13725-2023")</f>
        <v/>
      </c>
      <c r="Y111">
        <f>HYPERLINK("https://klasma.github.io/Logging_0880/kartor_geotiff/A 13725-2023 georefererad karta.tif", "A 13725-2023")</f>
        <v/>
      </c>
      <c r="AA111">
        <f>HYPERLINK("https://klasma.github.io/Logging_0880/klagomål/A 13725-2023 FSC-klagomål.docx", "A 13725-2023")</f>
        <v/>
      </c>
      <c r="AB111">
        <f>HYPERLINK("https://klasma.github.io/Logging_0880/klagomålsmail/A 13725-2023 FSC-klagomål mail.docx", "A 13725-2023")</f>
        <v/>
      </c>
      <c r="AC111">
        <f>HYPERLINK("https://klasma.github.io/Logging_0880/tillsyn/A 13725-2023 tillsynsbegäran.docx", "A 13725-2023")</f>
        <v/>
      </c>
      <c r="AD111">
        <f>HYPERLINK("https://klasma.github.io/Logging_0880/tillsynsmail/A 13725-2023 tillsynsbegäran mail.docx", "A 13725-2023")</f>
        <v/>
      </c>
      <c r="AE111">
        <f>HYPERLINK("https://klasma.github.io/Logging_0880/fåglar/A 13725-2023 prioriterade fågelarter.docx", "A 13725-2023")</f>
        <v/>
      </c>
    </row>
    <row r="112" ht="15" customHeight="1">
      <c r="A112" t="inlineStr">
        <is>
          <t>A 20610-2025</t>
        </is>
      </c>
      <c r="B112" t="inlineStr">
        <is>
          <t>avverkningsanmälan</t>
        </is>
      </c>
      <c r="C112" t="inlineStr">
        <is>
          <t>Föryngringsavverkning</t>
        </is>
      </c>
      <c r="D112" s="1" t="n">
        <v>45775</v>
      </c>
      <c r="E112" s="1" t="n">
        <v>46272</v>
      </c>
      <c r="F112" t="inlineStr">
        <is>
          <t>KALMAR LÄN</t>
        </is>
      </c>
      <c r="G112" t="inlineStr">
        <is>
          <t>KALMAR</t>
        </is>
      </c>
      <c r="I112" t="n">
        <v>0.9</v>
      </c>
      <c r="J112" t="n">
        <v>0</v>
      </c>
      <c r="K112" t="n">
        <v>1</v>
      </c>
      <c r="L112" t="n">
        <v>0</v>
      </c>
      <c r="M112" t="n">
        <v>0</v>
      </c>
      <c r="N112" t="n">
        <v>0</v>
      </c>
      <c r="O112" t="n">
        <v>0</v>
      </c>
      <c r="P112" t="n">
        <v>0</v>
      </c>
      <c r="Q112" t="n">
        <v>0</v>
      </c>
      <c r="R112" t="n">
        <v>0</v>
      </c>
      <c r="S112" t="n">
        <v>1</v>
      </c>
      <c r="T112" t="n">
        <v>1</v>
      </c>
      <c r="U112" t="n">
        <v>0</v>
      </c>
      <c r="V112" s="2" t="inlineStr">
        <is>
          <t>Blåmossa</t>
        </is>
      </c>
      <c r="W112">
        <f>HYPERLINK("https://klasma.github.io/Logging_0880/artfynd/A 20610-2025 artfynd.xlsx", "A 20610-2025")</f>
        <v/>
      </c>
      <c r="X112">
        <f>HYPERLINK("https://klasma.github.io/Logging_0880/kartor/A 20610-2025 karta.png", "A 20610-2025")</f>
        <v/>
      </c>
      <c r="Y112">
        <f>HYPERLINK("https://klasma.github.io/Logging_0880/kartor_geotiff/A 20610-2025 georefererad karta.tif", "A 20610-2025")</f>
        <v/>
      </c>
      <c r="AA112">
        <f>HYPERLINK("https://klasma.github.io/Logging_0880/klagomål/A 20610-2025 FSC-klagomål.docx", "A 20610-2025")</f>
        <v/>
      </c>
      <c r="AB112">
        <f>HYPERLINK("https://klasma.github.io/Logging_0880/klagomålsmail/A 20610-2025 FSC-klagomål mail.docx", "A 20610-2025")</f>
        <v/>
      </c>
      <c r="AC112">
        <f>HYPERLINK("https://klasma.github.io/Logging_0880/tillsyn/A 20610-2025 tillsynsbegäran.docx", "A 20610-2025")</f>
        <v/>
      </c>
      <c r="AD112">
        <f>HYPERLINK("https://klasma.github.io/Logging_0880/tillsynsmail/A 20610-2025 tillsynsbegäran mail.docx", "A 20610-2025")</f>
        <v/>
      </c>
    </row>
    <row r="113" ht="15" customHeight="1">
      <c r="A113" t="inlineStr">
        <is>
          <t>A 37975-2024</t>
        </is>
      </c>
      <c r="B113" t="inlineStr">
        <is>
          <t>avverkningsanmälan</t>
        </is>
      </c>
      <c r="C113" t="inlineStr">
        <is>
          <t>Föryngringsavverkning</t>
        </is>
      </c>
      <c r="D113" s="1" t="n">
        <v>45544</v>
      </c>
      <c r="E113" s="1" t="n">
        <v>46272</v>
      </c>
      <c r="F113" t="inlineStr">
        <is>
          <t>KALMAR LÄN</t>
        </is>
      </c>
      <c r="G113" t="inlineStr">
        <is>
          <t>KALMAR</t>
        </is>
      </c>
      <c r="I113" t="n">
        <v>2.4</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HYPERLINK("https://klasma.github.io/Logging_0880/artfynd/A 37975-2024 artfynd.xlsx", "A 37975-2024")</f>
        <v/>
      </c>
      <c r="X113">
        <f>HYPERLINK("https://klasma.github.io/Logging_0880/kartor/A 37975-2024 karta.png", "A 37975-2024")</f>
        <v/>
      </c>
      <c r="Y113">
        <f>HYPERLINK("https://klasma.github.io/Logging_0880/kartor_geotiff/A 37975-2024 georefererad karta.tif", "A 37975-2024")</f>
        <v/>
      </c>
      <c r="AA113">
        <f>HYPERLINK("https://klasma.github.io/Logging_0880/klagomål/A 37975-2024 FSC-klagomål.docx", "A 37975-2024")</f>
        <v/>
      </c>
      <c r="AB113">
        <f>HYPERLINK("https://klasma.github.io/Logging_0880/klagomålsmail/A 37975-2024 FSC-klagomål mail.docx", "A 37975-2024")</f>
        <v/>
      </c>
      <c r="AC113">
        <f>HYPERLINK("https://klasma.github.io/Logging_0880/tillsyn/A 37975-2024 tillsynsbegäran.docx", "A 37975-2024")</f>
        <v/>
      </c>
      <c r="AD113">
        <f>HYPERLINK("https://klasma.github.io/Logging_0880/tillsynsmail/A 37975-2024 tillsynsbegäran mail.docx", "A 37975-2024")</f>
        <v/>
      </c>
      <c r="AE113">
        <f>HYPERLINK("https://klasma.github.io/Logging_0880/fåglar/A 37975-2024 prioriterade fågelarter.docx", "A 37975-2024")</f>
        <v/>
      </c>
    </row>
    <row r="114" ht="15" customHeight="1">
      <c r="A114" t="inlineStr">
        <is>
          <t>A 21496-2025</t>
        </is>
      </c>
      <c r="B114" t="inlineStr">
        <is>
          <t>avverkningsanmälan</t>
        </is>
      </c>
      <c r="C114" t="inlineStr">
        <is>
          <t>Föryngringsavverkning</t>
        </is>
      </c>
      <c r="D114" s="1" t="n">
        <v>45782</v>
      </c>
      <c r="E114" s="1" t="n">
        <v>46272</v>
      </c>
      <c r="F114" t="inlineStr">
        <is>
          <t>KALMAR LÄN</t>
        </is>
      </c>
      <c r="G114" t="inlineStr">
        <is>
          <t>KALMAR</t>
        </is>
      </c>
      <c r="H114" t="inlineStr">
        <is>
          <t>Sveaskog</t>
        </is>
      </c>
      <c r="I114" t="n">
        <v>6.7</v>
      </c>
      <c r="J114" t="n">
        <v>1</v>
      </c>
      <c r="K114" t="n">
        <v>0</v>
      </c>
      <c r="L114" t="n">
        <v>0</v>
      </c>
      <c r="M114" t="n">
        <v>0</v>
      </c>
      <c r="N114" t="n">
        <v>0</v>
      </c>
      <c r="O114" t="n">
        <v>0</v>
      </c>
      <c r="P114" t="n">
        <v>0</v>
      </c>
      <c r="Q114" t="n">
        <v>0</v>
      </c>
      <c r="R114" t="n">
        <v>0</v>
      </c>
      <c r="S114" t="n">
        <v>1</v>
      </c>
      <c r="T114" t="n">
        <v>1</v>
      </c>
      <c r="U114" t="n">
        <v>0</v>
      </c>
      <c r="V114" s="2" t="inlineStr">
        <is>
          <t>Blåsippa</t>
        </is>
      </c>
      <c r="W114">
        <f>HYPERLINK("https://klasma.github.io/Logging_0880/artfynd/A 21496-2025 artfynd.xlsx", "A 21496-2025")</f>
        <v/>
      </c>
      <c r="X114">
        <f>HYPERLINK("https://klasma.github.io/Logging_0880/kartor/A 21496-2025 karta.png", "A 21496-2025")</f>
        <v/>
      </c>
      <c r="Y114">
        <f>HYPERLINK("https://klasma.github.io/Logging_0880/kartor_geotiff/A 21496-2025 georefererad karta.tif", "A 21496-2025")</f>
        <v/>
      </c>
      <c r="AA114">
        <f>HYPERLINK("https://klasma.github.io/Logging_0880/klagomål/A 21496-2025 FSC-klagomål.docx", "A 21496-2025")</f>
        <v/>
      </c>
      <c r="AB114">
        <f>HYPERLINK("https://klasma.github.io/Logging_0880/klagomålsmail/A 21496-2025 FSC-klagomål mail.docx", "A 21496-2025")</f>
        <v/>
      </c>
      <c r="AC114">
        <f>HYPERLINK("https://klasma.github.io/Logging_0880/tillsyn/A 21496-2025 tillsynsbegäran.docx", "A 21496-2025")</f>
        <v/>
      </c>
      <c r="AD114">
        <f>HYPERLINK("https://klasma.github.io/Logging_0880/tillsynsmail/A 21496-2025 tillsynsbegäran mail.docx", "A 21496-2025")</f>
        <v/>
      </c>
    </row>
    <row r="115" ht="15" customHeight="1">
      <c r="A115" t="inlineStr">
        <is>
          <t>A 23662-2024</t>
        </is>
      </c>
      <c r="B115" t="inlineStr">
        <is>
          <t>avverkningsanmälan</t>
        </is>
      </c>
      <c r="C115" t="inlineStr">
        <is>
          <t>Föryngringsavverkning</t>
        </is>
      </c>
      <c r="D115" s="1" t="n">
        <v>45454</v>
      </c>
      <c r="E115" s="1" t="n">
        <v>46272</v>
      </c>
      <c r="F115" t="inlineStr">
        <is>
          <t>KALMAR LÄN</t>
        </is>
      </c>
      <c r="G115" t="inlineStr">
        <is>
          <t>KALMAR</t>
        </is>
      </c>
      <c r="I115" t="n">
        <v>3</v>
      </c>
      <c r="J115" t="n">
        <v>1</v>
      </c>
      <c r="K115" t="n">
        <v>0</v>
      </c>
      <c r="L115" t="n">
        <v>0</v>
      </c>
      <c r="M115" t="n">
        <v>0</v>
      </c>
      <c r="N115" t="n">
        <v>0</v>
      </c>
      <c r="O115" t="n">
        <v>0</v>
      </c>
      <c r="P115" t="n">
        <v>0</v>
      </c>
      <c r="Q115" t="n">
        <v>0</v>
      </c>
      <c r="R115" t="n">
        <v>0</v>
      </c>
      <c r="S115" t="n">
        <v>1</v>
      </c>
      <c r="T115" t="n">
        <v>1</v>
      </c>
      <c r="U115" t="n">
        <v>0</v>
      </c>
      <c r="V115" s="2" t="inlineStr">
        <is>
          <t>Grönsiska</t>
        </is>
      </c>
      <c r="W115">
        <f>HYPERLINK("https://klasma.github.io/Logging_0880/artfynd/A 23662-2024 artfynd.xlsx", "A 23662-2024")</f>
        <v/>
      </c>
      <c r="X115">
        <f>HYPERLINK("https://klasma.github.io/Logging_0880/kartor/A 23662-2024 karta.png", "A 23662-2024")</f>
        <v/>
      </c>
      <c r="Y115">
        <f>HYPERLINK("https://klasma.github.io/Logging_0880/kartor_geotiff/A 23662-2024 georefererad karta.tif", "A 23662-2024")</f>
        <v/>
      </c>
      <c r="AA115">
        <f>HYPERLINK("https://klasma.github.io/Logging_0880/klagomål/A 23662-2024 FSC-klagomål.docx", "A 23662-2024")</f>
        <v/>
      </c>
      <c r="AB115">
        <f>HYPERLINK("https://klasma.github.io/Logging_0880/klagomålsmail/A 23662-2024 FSC-klagomål mail.docx", "A 23662-2024")</f>
        <v/>
      </c>
      <c r="AC115">
        <f>HYPERLINK("https://klasma.github.io/Logging_0880/tillsyn/A 23662-2024 tillsynsbegäran.docx", "A 23662-2024")</f>
        <v/>
      </c>
      <c r="AD115">
        <f>HYPERLINK("https://klasma.github.io/Logging_0880/tillsynsmail/A 23662-2024 tillsynsbegäran mail.docx", "A 23662-2024")</f>
        <v/>
      </c>
    </row>
    <row r="116" ht="15" customHeight="1">
      <c r="A116" t="inlineStr">
        <is>
          <t>A 23182-2025</t>
        </is>
      </c>
      <c r="B116" t="inlineStr">
        <is>
          <t>avverkningsanmälan</t>
        </is>
      </c>
      <c r="C116" t="inlineStr">
        <is>
          <t>Avverkning för att bevara och utveckla /försöksver</t>
        </is>
      </c>
      <c r="D116" s="1" t="n">
        <v>45791</v>
      </c>
      <c r="E116" s="1" t="n">
        <v>46272</v>
      </c>
      <c r="F116" t="inlineStr">
        <is>
          <t>KALMAR LÄN</t>
        </is>
      </c>
      <c r="G116" t="inlineStr">
        <is>
          <t>KALMAR</t>
        </is>
      </c>
      <c r="I116" t="n">
        <v>6.5</v>
      </c>
      <c r="J116" t="n">
        <v>1</v>
      </c>
      <c r="K116" t="n">
        <v>0</v>
      </c>
      <c r="L116" t="n">
        <v>0</v>
      </c>
      <c r="M116" t="n">
        <v>0</v>
      </c>
      <c r="N116" t="n">
        <v>0</v>
      </c>
      <c r="O116" t="n">
        <v>0</v>
      </c>
      <c r="P116" t="n">
        <v>0</v>
      </c>
      <c r="Q116" t="n">
        <v>0</v>
      </c>
      <c r="R116" t="n">
        <v>0</v>
      </c>
      <c r="S116" t="n">
        <v>1</v>
      </c>
      <c r="T116" t="n">
        <v>1</v>
      </c>
      <c r="U116" t="n">
        <v>1</v>
      </c>
      <c r="V116" s="2" t="inlineStr">
        <is>
          <t>Nattviol</t>
        </is>
      </c>
      <c r="W116">
        <f>HYPERLINK("https://klasma.github.io/Logging_0880/artfynd/A 23182-2025 artfynd.xlsx", "A 23182-2025")</f>
        <v/>
      </c>
      <c r="X116">
        <f>HYPERLINK("https://klasma.github.io/Logging_0880/kartor/A 23182-2025 karta.png", "A 23182-2025")</f>
        <v/>
      </c>
      <c r="Y116">
        <f>HYPERLINK("https://klasma.github.io/Logging_0880/kartor_geotiff/A 23182-2025 georefererad karta.tif", "A 23182-2025")</f>
        <v/>
      </c>
      <c r="AA116">
        <f>HYPERLINK("https://klasma.github.io/Logging_0880/klagomål/A 23182-2025 FSC-klagomål.docx", "A 23182-2025")</f>
        <v/>
      </c>
      <c r="AB116">
        <f>HYPERLINK("https://klasma.github.io/Logging_0880/klagomålsmail/A 23182-2025 FSC-klagomål mail.docx", "A 23182-2025")</f>
        <v/>
      </c>
      <c r="AC116">
        <f>HYPERLINK("https://klasma.github.io/Logging_0880/tillsyn/A 23182-2025 tillsynsbegäran.docx", "A 23182-2025")</f>
        <v/>
      </c>
      <c r="AD116">
        <f>HYPERLINK("https://klasma.github.io/Logging_0880/tillsynsmail/A 23182-2025 tillsynsbegäran mail.docx", "A 23182-2025")</f>
        <v/>
      </c>
    </row>
    <row r="117" ht="15" customHeight="1">
      <c r="A117" t="inlineStr">
        <is>
          <t>A 34873-2026</t>
        </is>
      </c>
      <c r="B117" t="inlineStr">
        <is>
          <t>avverkningsanmälan</t>
        </is>
      </c>
      <c r="C117" t="inlineStr">
        <is>
          <t>Föryngringsavverkning</t>
        </is>
      </c>
      <c r="D117" s="1" t="n">
        <v>46258</v>
      </c>
      <c r="E117" s="1" t="n">
        <v>46272</v>
      </c>
      <c r="F117" t="inlineStr">
        <is>
          <t>KALMAR LÄN</t>
        </is>
      </c>
      <c r="G117" t="inlineStr">
        <is>
          <t>KALMAR</t>
        </is>
      </c>
      <c r="I117" t="n">
        <v>1.7</v>
      </c>
      <c r="J117" t="n">
        <v>0</v>
      </c>
      <c r="K117" t="n">
        <v>1</v>
      </c>
      <c r="L117" t="n">
        <v>0</v>
      </c>
      <c r="M117" t="n">
        <v>0</v>
      </c>
      <c r="N117" t="n">
        <v>0</v>
      </c>
      <c r="O117" t="n">
        <v>0</v>
      </c>
      <c r="P117" t="n">
        <v>0</v>
      </c>
      <c r="Q117" t="n">
        <v>0</v>
      </c>
      <c r="R117" t="n">
        <v>0</v>
      </c>
      <c r="S117" t="n">
        <v>1</v>
      </c>
      <c r="T117" t="n">
        <v>1</v>
      </c>
      <c r="U117" t="n">
        <v>0</v>
      </c>
      <c r="V117" s="2" t="inlineStr">
        <is>
          <t>Blåmossa</t>
        </is>
      </c>
      <c r="W117">
        <f>HYPERLINK("https://klasma.github.io/Logging_0880/artfynd/A 34873-2026 artfynd.xlsx", "A 34873-2026")</f>
        <v/>
      </c>
      <c r="X117">
        <f>HYPERLINK("https://klasma.github.io/Logging_0880/kartor/A 34873-2026 karta.png", "A 34873-2026")</f>
        <v/>
      </c>
      <c r="Y117">
        <f>HYPERLINK("https://klasma.github.io/Logging_0880/kartor_geotiff/A 34873-2026 georefererad karta.tif", "A 34873-2026")</f>
        <v/>
      </c>
      <c r="AA117">
        <f>HYPERLINK("https://klasma.github.io/Logging_0880/klagomål/A 34873-2026 FSC-klagomål.docx", "A 34873-2026")</f>
        <v/>
      </c>
      <c r="AB117">
        <f>HYPERLINK("https://klasma.github.io/Logging_0880/klagomålsmail/A 34873-2026 FSC-klagomål mail.docx", "A 34873-2026")</f>
        <v/>
      </c>
      <c r="AC117">
        <f>HYPERLINK("https://klasma.github.io/Logging_0880/tillsyn/A 34873-2026 tillsynsbegäran.docx", "A 34873-2026")</f>
        <v/>
      </c>
      <c r="AD117">
        <f>HYPERLINK("https://klasma.github.io/Logging_0880/tillsynsmail/A 34873-2026 tillsynsbegäran mail.docx", "A 34873-2026")</f>
        <v/>
      </c>
    </row>
    <row r="118" ht="15" customHeight="1">
      <c r="A118" t="inlineStr">
        <is>
          <t>S 4937-2022</t>
        </is>
      </c>
      <c r="B118" t="inlineStr">
        <is>
          <t>samrådsanmälan</t>
        </is>
      </c>
      <c r="C118" t="inlineStr">
        <is>
          <t>Annan skogsbruksåtgärd</t>
        </is>
      </c>
      <c r="D118" s="1" t="n">
        <v>44810</v>
      </c>
      <c r="E118" s="1" t="n">
        <v>46272</v>
      </c>
      <c r="F118" t="inlineStr">
        <is>
          <t>KALMAR LÄN</t>
        </is>
      </c>
      <c r="G118" t="inlineStr">
        <is>
          <t>KALMAR</t>
        </is>
      </c>
      <c r="H118" t="inlineStr">
        <is>
          <t>Kommuner</t>
        </is>
      </c>
      <c r="I118" t="n">
        <v>3.4</v>
      </c>
      <c r="J118" t="n">
        <v>0</v>
      </c>
      <c r="K118" t="n">
        <v>0</v>
      </c>
      <c r="L118" t="n">
        <v>1</v>
      </c>
      <c r="M118" t="n">
        <v>0</v>
      </c>
      <c r="N118" t="n">
        <v>0</v>
      </c>
      <c r="O118" t="n">
        <v>0</v>
      </c>
      <c r="P118" t="n">
        <v>0</v>
      </c>
      <c r="Q118" t="n">
        <v>1</v>
      </c>
      <c r="R118" t="n">
        <v>0</v>
      </c>
      <c r="S118" t="n">
        <v>1</v>
      </c>
      <c r="T118" t="n">
        <v>1</v>
      </c>
      <c r="U118" t="n">
        <v>0</v>
      </c>
      <c r="V118" s="2" t="inlineStr">
        <is>
          <t>Gammelekslav</t>
        </is>
      </c>
      <c r="W118">
        <f>HYPERLINK("https://klasma.github.io/Logging_0880/artfynd/S 4937-2022 artfynd.xlsx", "S 4937-2022")</f>
        <v/>
      </c>
      <c r="X118">
        <f>HYPERLINK("https://klasma.github.io/Logging_0880/kartor/S 4937-2022 karta.png", "S 4937-2022")</f>
        <v/>
      </c>
      <c r="Y118">
        <f>HYPERLINK("https://klasma.github.io/Logging_0880/kartor_geotiff/S 4937-2022 georefererad karta.tif", "S 4937-2022")</f>
        <v/>
      </c>
      <c r="AA118">
        <f>HYPERLINK("https://klasma.github.io/Logging_0880/klagomål/S 4937-2022 FSC-klagomål.docx", "S 4937-2022")</f>
        <v/>
      </c>
      <c r="AB118">
        <f>HYPERLINK("https://klasma.github.io/Logging_0880/klagomålsmail/S 4937-2022 FSC-klagomål mail.docx", "S 4937-2022")</f>
        <v/>
      </c>
      <c r="AC118">
        <f>HYPERLINK("https://klasma.github.io/Logging_0880/tillsyn/S 4937-2022 tillsynsbegäran.docx", "S 4937-2022")</f>
        <v/>
      </c>
      <c r="AD118">
        <f>HYPERLINK("https://klasma.github.io/Logging_0880/tillsynsmail/S 4937-2022 tillsynsbegäran mail.docx", "S 4937-2022")</f>
        <v/>
      </c>
    </row>
    <row r="119" ht="15" customHeight="1">
      <c r="A119" t="inlineStr">
        <is>
          <t>S 447-2022</t>
        </is>
      </c>
      <c r="B119" t="inlineStr">
        <is>
          <t>samrådsanmälan</t>
        </is>
      </c>
      <c r="C119" t="inlineStr">
        <is>
          <t>Askåterföring</t>
        </is>
      </c>
      <c r="D119" s="1" t="n">
        <v>44586</v>
      </c>
      <c r="E119" s="1" t="n">
        <v>46272</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HYPERLINK("https://klasma.github.io/Logging_0880/artfynd/S 447-2022 artfynd.xlsx", "S 447-2022")</f>
        <v/>
      </c>
      <c r="X119">
        <f>HYPERLINK("https://klasma.github.io/Logging_0880/kartor/S 447-2022 karta.png", "S 447-2022")</f>
        <v/>
      </c>
      <c r="Y119">
        <f>HYPERLINK("https://klasma.github.io/Logging_0880/kartor_geotiff/S 447-2022 georefererad karta.tif", "S 447-2022")</f>
        <v/>
      </c>
      <c r="AA119">
        <f>HYPERLINK("https://klasma.github.io/Logging_0880/klagomål/S 447-2022 FSC-klagomål.docx", "S 447-2022")</f>
        <v/>
      </c>
      <c r="AB119">
        <f>HYPERLINK("https://klasma.github.io/Logging_0880/klagomålsmail/S 447-2022 FSC-klagomål mail.docx", "S 447-2022")</f>
        <v/>
      </c>
      <c r="AC119">
        <f>HYPERLINK("https://klasma.github.io/Logging_0880/tillsyn/S 447-2022 tillsynsbegäran.docx", "S 447-2022")</f>
        <v/>
      </c>
      <c r="AD119">
        <f>HYPERLINK("https://klasma.github.io/Logging_0880/tillsynsmail/S 447-2022 tillsynsbegäran mail.docx", "S 447-2022")</f>
        <v/>
      </c>
    </row>
    <row r="120" ht="15" customHeight="1">
      <c r="A120" t="inlineStr">
        <is>
          <t>S 4782-2024</t>
        </is>
      </c>
      <c r="B120" t="inlineStr">
        <is>
          <t>samrådsanmälan</t>
        </is>
      </c>
      <c r="C120" t="inlineStr">
        <is>
          <t>Askåterföring</t>
        </is>
      </c>
      <c r="D120" s="1" t="n">
        <v>45611</v>
      </c>
      <c r="E120" s="1" t="n">
        <v>46272</v>
      </c>
      <c r="F120" t="inlineStr">
        <is>
          <t>KALMAR LÄN</t>
        </is>
      </c>
      <c r="G120" t="inlineStr">
        <is>
          <t>KALMAR</t>
        </is>
      </c>
      <c r="I120" t="n">
        <v>45</v>
      </c>
      <c r="J120" t="n">
        <v>0</v>
      </c>
      <c r="K120" t="n">
        <v>0</v>
      </c>
      <c r="L120" t="n">
        <v>1</v>
      </c>
      <c r="M120" t="n">
        <v>0</v>
      </c>
      <c r="N120" t="n">
        <v>0</v>
      </c>
      <c r="O120" t="n">
        <v>0</v>
      </c>
      <c r="P120" t="n">
        <v>0</v>
      </c>
      <c r="Q120" t="n">
        <v>1</v>
      </c>
      <c r="R120" t="n">
        <v>0</v>
      </c>
      <c r="S120" t="n">
        <v>1</v>
      </c>
      <c r="T120" t="n">
        <v>1</v>
      </c>
      <c r="U120" t="n">
        <v>0</v>
      </c>
      <c r="V120" s="2" t="inlineStr">
        <is>
          <t>Slåtterfibbla</t>
        </is>
      </c>
      <c r="W120">
        <f>HYPERLINK("https://klasma.github.io/Logging_0880/artfynd/S 4782-2024 artfynd.xlsx", "S 4782-2024")</f>
        <v/>
      </c>
      <c r="X120">
        <f>HYPERLINK("https://klasma.github.io/Logging_0880/kartor/S 4782-2024 karta.png", "S 4782-2024")</f>
        <v/>
      </c>
      <c r="Y120">
        <f>HYPERLINK("https://klasma.github.io/Logging_0880/kartor_geotiff/S 4782-2024 georefererad karta.tif", "S 4782-2024")</f>
        <v/>
      </c>
      <c r="AA120">
        <f>HYPERLINK("https://klasma.github.io/Logging_0880/klagomål/S 4782-2024 FSC-klagomål.docx", "S 4782-2024")</f>
        <v/>
      </c>
      <c r="AB120">
        <f>HYPERLINK("https://klasma.github.io/Logging_0880/klagomålsmail/S 4782-2024 FSC-klagomål mail.docx", "S 4782-2024")</f>
        <v/>
      </c>
      <c r="AC120">
        <f>HYPERLINK("https://klasma.github.io/Logging_0880/tillsyn/S 4782-2024 tillsynsbegäran.docx", "S 4782-2024")</f>
        <v/>
      </c>
      <c r="AD120">
        <f>HYPERLINK("https://klasma.github.io/Logging_0880/tillsynsmail/S 4782-2024 tillsynsbegäran mail.docx", "S 4782-2024")</f>
        <v/>
      </c>
    </row>
    <row r="121" ht="15" customHeight="1">
      <c r="A121" t="inlineStr">
        <is>
          <t>S 870-2024</t>
        </is>
      </c>
      <c r="B121" t="inlineStr">
        <is>
          <t>samrådsanmälan</t>
        </is>
      </c>
      <c r="C121" t="inlineStr">
        <is>
          <t>Askåterföring</t>
        </is>
      </c>
      <c r="D121" s="1" t="n">
        <v>45373</v>
      </c>
      <c r="E121" s="1" t="n">
        <v>46272</v>
      </c>
      <c r="F121" t="inlineStr">
        <is>
          <t>KALMAR LÄN</t>
        </is>
      </c>
      <c r="G121" t="inlineStr">
        <is>
          <t>KALMAR</t>
        </is>
      </c>
      <c r="I121" t="n">
        <v>23.8</v>
      </c>
      <c r="J121" t="n">
        <v>1</v>
      </c>
      <c r="K121" t="n">
        <v>0</v>
      </c>
      <c r="L121" t="n">
        <v>0</v>
      </c>
      <c r="M121" t="n">
        <v>1</v>
      </c>
      <c r="N121" t="n">
        <v>0</v>
      </c>
      <c r="O121" t="n">
        <v>0</v>
      </c>
      <c r="P121" t="n">
        <v>0</v>
      </c>
      <c r="Q121" t="n">
        <v>1</v>
      </c>
      <c r="R121" t="n">
        <v>1</v>
      </c>
      <c r="S121" t="n">
        <v>1</v>
      </c>
      <c r="T121" t="n">
        <v>1</v>
      </c>
      <c r="U121" t="n">
        <v>0</v>
      </c>
      <c r="V121" s="2" t="inlineStr">
        <is>
          <t>Knärot</t>
        </is>
      </c>
      <c r="W121">
        <f>HYPERLINK("https://klasma.github.io/Logging_0880/artfynd/S 870-2024 artfynd.xlsx", "S 870-2024")</f>
        <v/>
      </c>
      <c r="X121">
        <f>HYPERLINK("https://klasma.github.io/Logging_0880/kartor/S 870-2024 karta.png", "S 870-2024")</f>
        <v/>
      </c>
      <c r="Y121">
        <f>HYPERLINK("https://klasma.github.io/Logging_0880/kartor_geotiff/S 870-2024 georefererad karta.tif", "S 870-2024")</f>
        <v/>
      </c>
      <c r="Z121">
        <f>HYPERLINK("https://klasma.github.io/Logging_0880/knärot/S 870-2024 karta knärot.png", "S 870-2024")</f>
        <v/>
      </c>
      <c r="AA121">
        <f>HYPERLINK("https://klasma.github.io/Logging_0880/klagomål/S 870-2024 FSC-klagomål.docx", "S 870-2024")</f>
        <v/>
      </c>
      <c r="AB121">
        <f>HYPERLINK("https://klasma.github.io/Logging_0880/klagomålsmail/S 870-2024 FSC-klagomål mail.docx", "S 870-2024")</f>
        <v/>
      </c>
      <c r="AC121">
        <f>HYPERLINK("https://klasma.github.io/Logging_0880/tillsyn/S 870-2024 tillsynsbegäran.docx", "S 870-2024")</f>
        <v/>
      </c>
      <c r="AD121">
        <f>HYPERLINK("https://klasma.github.io/Logging_0880/tillsynsmail/S 870-2024 tillsynsbegäran mail.docx", "S 870-2024")</f>
        <v/>
      </c>
    </row>
    <row r="122" ht="15" customHeight="1">
      <c r="A122" t="inlineStr">
        <is>
          <t>S 340-2026</t>
        </is>
      </c>
      <c r="B122" t="inlineStr">
        <is>
          <t>samrådsanmälan</t>
        </is>
      </c>
      <c r="C122" t="inlineStr">
        <is>
          <t>Askåterföring</t>
        </is>
      </c>
      <c r="D122" s="1" t="n">
        <v>46063</v>
      </c>
      <c r="E122" s="1" t="n">
        <v>46272</v>
      </c>
      <c r="F122" t="inlineStr">
        <is>
          <t>KALMAR LÄN</t>
        </is>
      </c>
      <c r="G122" t="inlineStr">
        <is>
          <t>KALMAR</t>
        </is>
      </c>
      <c r="I122" t="n">
        <v>61.1</v>
      </c>
      <c r="J122" t="n">
        <v>0</v>
      </c>
      <c r="K122" t="n">
        <v>0</v>
      </c>
      <c r="L122" t="n">
        <v>1</v>
      </c>
      <c r="M122" t="n">
        <v>0</v>
      </c>
      <c r="N122" t="n">
        <v>0</v>
      </c>
      <c r="O122" t="n">
        <v>0</v>
      </c>
      <c r="P122" t="n">
        <v>0</v>
      </c>
      <c r="Q122" t="n">
        <v>1</v>
      </c>
      <c r="R122" t="n">
        <v>0</v>
      </c>
      <c r="S122" t="n">
        <v>1</v>
      </c>
      <c r="T122" t="n">
        <v>1</v>
      </c>
      <c r="U122" t="n">
        <v>0</v>
      </c>
      <c r="V122" s="2" t="inlineStr">
        <is>
          <t>Motaggsvamp</t>
        </is>
      </c>
      <c r="W122">
        <f>HYPERLINK("https://klasma.github.io/Logging_0880/artfynd/S 340-2026 artfynd.xlsx", "S 340-2026")</f>
        <v/>
      </c>
      <c r="X122">
        <f>HYPERLINK("https://klasma.github.io/Logging_0880/kartor/S 340-2026 karta.png", "S 340-2026")</f>
        <v/>
      </c>
      <c r="Y122">
        <f>HYPERLINK("https://klasma.github.io/Logging_0880/kartor_geotiff/S 340-2026 georefererad karta.tif", "S 340-2026")</f>
        <v/>
      </c>
      <c r="AA122">
        <f>HYPERLINK("https://klasma.github.io/Logging_0880/klagomål/S 340-2026 FSC-klagomål.docx", "S 340-2026")</f>
        <v/>
      </c>
      <c r="AB122">
        <f>HYPERLINK("https://klasma.github.io/Logging_0880/klagomålsmail/S 340-2026 FSC-klagomål mail.docx", "S 340-2026")</f>
        <v/>
      </c>
      <c r="AC122">
        <f>HYPERLINK("https://klasma.github.io/Logging_0880/tillsyn/S 340-2026 tillsynsbegäran.docx", "S 340-2026")</f>
        <v/>
      </c>
      <c r="AD122">
        <f>HYPERLINK("https://klasma.github.io/Logging_0880/tillsynsmail/S 340-2026 tillsynsbegäran mail.docx", "S 340-2026")</f>
        <v/>
      </c>
    </row>
    <row r="123" ht="15" customHeight="1">
      <c r="A123" t="inlineStr">
        <is>
          <t>S 628-2026</t>
        </is>
      </c>
      <c r="B123" t="inlineStr">
        <is>
          <t>samrådsanmälan</t>
        </is>
      </c>
      <c r="C123" t="inlineStr">
        <is>
          <t>Annan skogsbruksåtgärd</t>
        </is>
      </c>
      <c r="D123" s="1" t="n">
        <v>46087</v>
      </c>
      <c r="E123" s="1" t="n">
        <v>46272</v>
      </c>
      <c r="F123" t="inlineStr">
        <is>
          <t>KALMAR LÄN</t>
        </is>
      </c>
      <c r="G123" t="inlineStr">
        <is>
          <t>KALMAR</t>
        </is>
      </c>
      <c r="I123" t="n">
        <v>1.5</v>
      </c>
      <c r="J123" t="n">
        <v>0</v>
      </c>
      <c r="K123" t="n">
        <v>1</v>
      </c>
      <c r="L123" t="n">
        <v>0</v>
      </c>
      <c r="M123" t="n">
        <v>0</v>
      </c>
      <c r="N123" t="n">
        <v>0</v>
      </c>
      <c r="O123" t="n">
        <v>0</v>
      </c>
      <c r="P123" t="n">
        <v>0</v>
      </c>
      <c r="Q123" t="n">
        <v>0</v>
      </c>
      <c r="R123" t="n">
        <v>0</v>
      </c>
      <c r="S123" t="n">
        <v>1</v>
      </c>
      <c r="T123" t="n">
        <v>1</v>
      </c>
      <c r="U123" t="n">
        <v>0</v>
      </c>
      <c r="V123" s="2" t="inlineStr">
        <is>
          <t>Rostfläck</t>
        </is>
      </c>
      <c r="W123">
        <f>HYPERLINK("https://klasma.github.io/Logging_0880/artfynd/S 628-2026 artfynd.xlsx", "S 628-2026")</f>
        <v/>
      </c>
      <c r="X123">
        <f>HYPERLINK("https://klasma.github.io/Logging_0880/kartor/S 628-2026 karta.png", "S 628-2026")</f>
        <v/>
      </c>
      <c r="Y123">
        <f>HYPERLINK("https://klasma.github.io/Logging_0880/kartor_geotiff/S 628-2026 georefererad karta.tif", "S 628-2026")</f>
        <v/>
      </c>
      <c r="AA123">
        <f>HYPERLINK("https://klasma.github.io/Logging_0880/klagomål/S 628-2026 FSC-klagomål.docx", "S 628-2026")</f>
        <v/>
      </c>
      <c r="AB123">
        <f>HYPERLINK("https://klasma.github.io/Logging_0880/klagomålsmail/S 628-2026 FSC-klagomål mail.docx", "S 628-2026")</f>
        <v/>
      </c>
      <c r="AC123">
        <f>HYPERLINK("https://klasma.github.io/Logging_0880/tillsyn/S 628-2026 tillsynsbegäran.docx", "S 628-2026")</f>
        <v/>
      </c>
      <c r="AD123">
        <f>HYPERLINK("https://klasma.github.io/Logging_0880/tillsynsmail/S 628-2026 tillsynsbegäran mail.docx", "S 628-2026")</f>
        <v/>
      </c>
    </row>
    <row r="124" ht="15" customHeight="1">
      <c r="A124" t="inlineStr">
        <is>
          <t>A 13072-2022</t>
        </is>
      </c>
      <c r="B124" t="inlineStr">
        <is>
          <t>avverkningsanmälan</t>
        </is>
      </c>
      <c r="C124" t="inlineStr">
        <is>
          <t>Föryngringsavverkning</t>
        </is>
      </c>
      <c r="D124" s="1" t="n">
        <v>44643</v>
      </c>
      <c r="E124" s="1" t="n">
        <v>46272</v>
      </c>
      <c r="F124" t="inlineStr">
        <is>
          <t>KALMAR LÄN</t>
        </is>
      </c>
      <c r="G124" t="inlineStr">
        <is>
          <t>KALMAR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11216-2022</t>
        </is>
      </c>
      <c r="B125" t="inlineStr">
        <is>
          <t>avverkningsanmälan</t>
        </is>
      </c>
      <c r="C125" t="inlineStr">
        <is>
          <t>Föryngringsavverkning</t>
        </is>
      </c>
      <c r="D125" s="1" t="n">
        <v>44629</v>
      </c>
      <c r="E125" s="1" t="n">
        <v>46272</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40346-2022</t>
        </is>
      </c>
      <c r="B126" t="inlineStr">
        <is>
          <t>avverkningsanmälan</t>
        </is>
      </c>
      <c r="C126" t="inlineStr">
        <is>
          <t>Föryngringsavverkning</t>
        </is>
      </c>
      <c r="D126" s="1" t="n">
        <v>44823</v>
      </c>
      <c r="E126" s="1" t="n">
        <v>46272</v>
      </c>
      <c r="F126" t="inlineStr">
        <is>
          <t>KALMAR LÄN</t>
        </is>
      </c>
      <c r="G126" t="inlineStr">
        <is>
          <t>KALMAR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60928-2021</t>
        </is>
      </c>
      <c r="B127" t="inlineStr">
        <is>
          <t>avverkningsanmälan</t>
        </is>
      </c>
      <c r="C127" t="inlineStr">
        <is>
          <t>Föryngringsavverkning</t>
        </is>
      </c>
      <c r="D127" s="1" t="n">
        <v>44497</v>
      </c>
      <c r="E127" s="1" t="n">
        <v>46272</v>
      </c>
      <c r="F127" t="inlineStr">
        <is>
          <t>KALMAR LÄN</t>
        </is>
      </c>
      <c r="G127" t="inlineStr">
        <is>
          <t>KALMAR</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50871-2021</t>
        </is>
      </c>
      <c r="B128" t="inlineStr">
        <is>
          <t>avverkningsanmälan</t>
        </is>
      </c>
      <c r="C128" t="inlineStr">
        <is>
          <t>Föryngringsavverkning</t>
        </is>
      </c>
      <c r="D128" s="1" t="n">
        <v>44460</v>
      </c>
      <c r="E128" s="1" t="n">
        <v>46272</v>
      </c>
      <c r="F128" t="inlineStr">
        <is>
          <t>KALMAR LÄN</t>
        </is>
      </c>
      <c r="G128" t="inlineStr">
        <is>
          <t>KALMAR</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63045-2021</t>
        </is>
      </c>
      <c r="B129" t="inlineStr">
        <is>
          <t>avverkningsanmälan</t>
        </is>
      </c>
      <c r="C129" t="inlineStr">
        <is>
          <t>Föryngringsavverkning</t>
        </is>
      </c>
      <c r="D129" s="1" t="n">
        <v>44505</v>
      </c>
      <c r="E129" s="1" t="n">
        <v>46272</v>
      </c>
      <c r="F129" t="inlineStr">
        <is>
          <t>KALMAR LÄN</t>
        </is>
      </c>
      <c r="G129" t="inlineStr">
        <is>
          <t>KALMAR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47158-2022</t>
        </is>
      </c>
      <c r="B130" t="inlineStr">
        <is>
          <t>avverkningsanmälan</t>
        </is>
      </c>
      <c r="C130" t="inlineStr">
        <is>
          <t>Föryngringsavverkning</t>
        </is>
      </c>
      <c r="D130" s="1" t="n">
        <v>44852</v>
      </c>
      <c r="E130" s="1" t="n">
        <v>46272</v>
      </c>
      <c r="F130" t="inlineStr">
        <is>
          <t>KALMAR LÄN</t>
        </is>
      </c>
      <c r="G130" t="inlineStr">
        <is>
          <t>KALMAR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46272</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50105-2021</t>
        </is>
      </c>
      <c r="B132" t="inlineStr">
        <is>
          <t>avverkningsanmälan</t>
        </is>
      </c>
      <c r="C132" t="inlineStr">
        <is>
          <t>Föryngringsavverkning</t>
        </is>
      </c>
      <c r="D132" s="1" t="n">
        <v>44456</v>
      </c>
      <c r="E132" s="1" t="n">
        <v>46272</v>
      </c>
      <c r="F132" t="inlineStr">
        <is>
          <t>KALMAR LÄN</t>
        </is>
      </c>
      <c r="G132" t="inlineStr">
        <is>
          <t>KALMAR</t>
        </is>
      </c>
      <c r="I132" t="n">
        <v>5.6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50212-2021</t>
        </is>
      </c>
      <c r="B133" t="inlineStr">
        <is>
          <t>avverkningsanmälan</t>
        </is>
      </c>
      <c r="C133" t="inlineStr">
        <is>
          <t>Föryngringsavverkning</t>
        </is>
      </c>
      <c r="D133" s="1" t="n">
        <v>44457</v>
      </c>
      <c r="E133" s="1" t="n">
        <v>46272</v>
      </c>
      <c r="F133" t="inlineStr">
        <is>
          <t>KALMAR LÄN</t>
        </is>
      </c>
      <c r="G133" t="inlineStr">
        <is>
          <t>KALMAR</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71104-2021</t>
        </is>
      </c>
      <c r="B134" t="inlineStr">
        <is>
          <t>avverkningsanmälan</t>
        </is>
      </c>
      <c r="C134" t="inlineStr">
        <is>
          <t>Föryngringsavverkning</t>
        </is>
      </c>
      <c r="D134" s="1" t="n">
        <v>44539</v>
      </c>
      <c r="E134" s="1" t="n">
        <v>46272</v>
      </c>
      <c r="F134" t="inlineStr">
        <is>
          <t>KALMAR LÄN</t>
        </is>
      </c>
      <c r="G134" t="inlineStr">
        <is>
          <t>KALMAR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61085-2021</t>
        </is>
      </c>
      <c r="B135" t="inlineStr">
        <is>
          <t>avverkningsanmälan</t>
        </is>
      </c>
      <c r="C135" t="inlineStr">
        <is>
          <t>Föryngringsavverkning</t>
        </is>
      </c>
      <c r="D135" s="1" t="n">
        <v>44498</v>
      </c>
      <c r="E135" s="1" t="n">
        <v>46272</v>
      </c>
      <c r="F135" t="inlineStr">
        <is>
          <t>KALMAR LÄN</t>
        </is>
      </c>
      <c r="G135" t="inlineStr">
        <is>
          <t>KALMAR</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61086-2021</t>
        </is>
      </c>
      <c r="B136" t="inlineStr">
        <is>
          <t>avverkningsanmälan</t>
        </is>
      </c>
      <c r="C136" t="inlineStr">
        <is>
          <t>Föryngringsavverkning</t>
        </is>
      </c>
      <c r="D136" s="1" t="n">
        <v>44498</v>
      </c>
      <c r="E136" s="1" t="n">
        <v>46272</v>
      </c>
      <c r="F136" t="inlineStr">
        <is>
          <t>KALMAR LÄN</t>
        </is>
      </c>
      <c r="G136" t="inlineStr">
        <is>
          <t>KALMAR</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58845-2021</t>
        </is>
      </c>
      <c r="B137" t="inlineStr">
        <is>
          <t>avverkningsanmälan</t>
        </is>
      </c>
      <c r="C137" t="inlineStr">
        <is>
          <t>Föryngringsavverkning</t>
        </is>
      </c>
      <c r="D137" s="1" t="n">
        <v>44489</v>
      </c>
      <c r="E137" s="1" t="n">
        <v>46272</v>
      </c>
      <c r="F137" t="inlineStr">
        <is>
          <t>KALMAR LÄN</t>
        </is>
      </c>
      <c r="G137" t="inlineStr">
        <is>
          <t>KALMAR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67721-2021</t>
        </is>
      </c>
      <c r="B138" t="inlineStr">
        <is>
          <t>avverkningsanmälan</t>
        </is>
      </c>
      <c r="C138" t="inlineStr">
        <is>
          <t>Föryngringsavverkning</t>
        </is>
      </c>
      <c r="D138" s="1" t="n">
        <v>44525</v>
      </c>
      <c r="E138" s="1" t="n">
        <v>46272</v>
      </c>
      <c r="F138" t="inlineStr">
        <is>
          <t>KALMAR LÄN</t>
        </is>
      </c>
      <c r="G138" t="inlineStr">
        <is>
          <t>KALMAR</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40364-2022</t>
        </is>
      </c>
      <c r="B139" t="inlineStr">
        <is>
          <t>avverkningsanmälan</t>
        </is>
      </c>
      <c r="C139" t="inlineStr">
        <is>
          <t>Föryngringsavverkning</t>
        </is>
      </c>
      <c r="D139" s="1" t="n">
        <v>44823</v>
      </c>
      <c r="E139" s="1" t="n">
        <v>46272</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33830-2022</t>
        </is>
      </c>
      <c r="B140" t="inlineStr">
        <is>
          <t>avverkningsanmälan</t>
        </is>
      </c>
      <c r="C140" t="inlineStr">
        <is>
          <t>Föryngringsavverkning</t>
        </is>
      </c>
      <c r="D140" s="1" t="n">
        <v>44790</v>
      </c>
      <c r="E140" s="1" t="n">
        <v>46272</v>
      </c>
      <c r="F140" t="inlineStr">
        <is>
          <t>KALMAR LÄN</t>
        </is>
      </c>
      <c r="G140" t="inlineStr">
        <is>
          <t>KALMAR</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69410-2021</t>
        </is>
      </c>
      <c r="B141" t="inlineStr">
        <is>
          <t>avverkningsanmälan</t>
        </is>
      </c>
      <c r="C141" t="inlineStr">
        <is>
          <t>Föryngringsavverkning</t>
        </is>
      </c>
      <c r="D141" s="1" t="n">
        <v>44531</v>
      </c>
      <c r="E141" s="1" t="n">
        <v>46272</v>
      </c>
      <c r="F141" t="inlineStr">
        <is>
          <t>KALMAR LÄN</t>
        </is>
      </c>
      <c r="G141" t="inlineStr">
        <is>
          <t>KALMAR</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6794-2022</t>
        </is>
      </c>
      <c r="B142" t="inlineStr">
        <is>
          <t>avverkningsanmälan</t>
        </is>
      </c>
      <c r="C142" t="inlineStr">
        <is>
          <t>Föryngringsavverkning</t>
        </is>
      </c>
      <c r="D142" s="1" t="n">
        <v>44602</v>
      </c>
      <c r="E142" s="1" t="n">
        <v>46272</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48355-2022</t>
        </is>
      </c>
      <c r="B143" t="inlineStr">
        <is>
          <t>avverkningsanmälan</t>
        </is>
      </c>
      <c r="C143" t="inlineStr">
        <is>
          <t>Föryngringsavverkning</t>
        </is>
      </c>
      <c r="D143" s="1" t="n">
        <v>44858</v>
      </c>
      <c r="E143" s="1" t="n">
        <v>46272</v>
      </c>
      <c r="F143" t="inlineStr">
        <is>
          <t>KALMAR LÄN</t>
        </is>
      </c>
      <c r="G143" t="inlineStr">
        <is>
          <t>KALMAR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66820-2021</t>
        </is>
      </c>
      <c r="B144" t="inlineStr">
        <is>
          <t>avverkningsanmälan</t>
        </is>
      </c>
      <c r="C144" t="inlineStr">
        <is>
          <t>Föryngringsavverkning</t>
        </is>
      </c>
      <c r="D144" s="1" t="n">
        <v>44522</v>
      </c>
      <c r="E144" s="1" t="n">
        <v>46272</v>
      </c>
      <c r="F144" t="inlineStr">
        <is>
          <t>KALMAR LÄN</t>
        </is>
      </c>
      <c r="G144" t="inlineStr">
        <is>
          <t>KALMAR</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40404-2022</t>
        </is>
      </c>
      <c r="B145" t="inlineStr">
        <is>
          <t>avverkningsanmälan</t>
        </is>
      </c>
      <c r="C145" t="inlineStr">
        <is>
          <t>Föryngringsavverkning</t>
        </is>
      </c>
      <c r="D145" s="1" t="n">
        <v>44823</v>
      </c>
      <c r="E145" s="1" t="n">
        <v>46272</v>
      </c>
      <c r="F145" t="inlineStr">
        <is>
          <t>KALMAR LÄN</t>
        </is>
      </c>
      <c r="G145" t="inlineStr">
        <is>
          <t>KALMAR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39525-2022</t>
        </is>
      </c>
      <c r="B146" t="inlineStr">
        <is>
          <t>avverkningsanmälan</t>
        </is>
      </c>
      <c r="C146" t="inlineStr">
        <is>
          <t>Föryngringsavverkning</t>
        </is>
      </c>
      <c r="D146" s="1" t="n">
        <v>44818</v>
      </c>
      <c r="E146" s="1" t="n">
        <v>46272</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48378-2022</t>
        </is>
      </c>
      <c r="B147" t="inlineStr">
        <is>
          <t>avverkningsanmälan</t>
        </is>
      </c>
      <c r="C147" t="inlineStr">
        <is>
          <t>Föryngringsavverkning</t>
        </is>
      </c>
      <c r="D147" s="1" t="n">
        <v>44858</v>
      </c>
      <c r="E147" s="1" t="n">
        <v>46272</v>
      </c>
      <c r="F147" t="inlineStr">
        <is>
          <t>KALMAR LÄN</t>
        </is>
      </c>
      <c r="G147" t="inlineStr">
        <is>
          <t>KALMAR</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48470-2022</t>
        </is>
      </c>
      <c r="B148" t="inlineStr">
        <is>
          <t>avverkningsanmälan</t>
        </is>
      </c>
      <c r="C148" t="inlineStr">
        <is>
          <t>Föryngringsavverkning</t>
        </is>
      </c>
      <c r="D148" s="1" t="n">
        <v>44858</v>
      </c>
      <c r="E148" s="1" t="n">
        <v>46272</v>
      </c>
      <c r="F148" t="inlineStr">
        <is>
          <t>KALMAR LÄN</t>
        </is>
      </c>
      <c r="G148" t="inlineStr">
        <is>
          <t>KALMAR</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47080-2022</t>
        </is>
      </c>
      <c r="B149" t="inlineStr">
        <is>
          <t>avverkningsanmälan</t>
        </is>
      </c>
      <c r="C149" t="inlineStr">
        <is>
          <t>Föryngringsavverkning</t>
        </is>
      </c>
      <c r="D149" s="1" t="n">
        <v>44852</v>
      </c>
      <c r="E149" s="1" t="n">
        <v>46272</v>
      </c>
      <c r="F149" t="inlineStr">
        <is>
          <t>KALMAR LÄN</t>
        </is>
      </c>
      <c r="G149" t="inlineStr">
        <is>
          <t>KALMAR</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48473-2022</t>
        </is>
      </c>
      <c r="B150" t="inlineStr">
        <is>
          <t>avverkningsanmälan</t>
        </is>
      </c>
      <c r="C150" t="inlineStr">
        <is>
          <t>Föryngringsavverkning</t>
        </is>
      </c>
      <c r="D150" s="1" t="n">
        <v>44858</v>
      </c>
      <c r="E150" s="1" t="n">
        <v>46272</v>
      </c>
      <c r="F150" t="inlineStr">
        <is>
          <t>KALMAR LÄN</t>
        </is>
      </c>
      <c r="G150" t="inlineStr">
        <is>
          <t>KALMAR</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9087-2022</t>
        </is>
      </c>
      <c r="B151" t="inlineStr">
        <is>
          <t>avverkningsanmälan</t>
        </is>
      </c>
      <c r="C151" t="inlineStr">
        <is>
          <t>Föryngringsavverkning</t>
        </is>
      </c>
      <c r="D151" s="1" t="n">
        <v>44615</v>
      </c>
      <c r="E151" s="1" t="n">
        <v>46272</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3739-2022</t>
        </is>
      </c>
      <c r="B152" t="inlineStr">
        <is>
          <t>avverkningsanmälan</t>
        </is>
      </c>
      <c r="C152" t="inlineStr">
        <is>
          <t>Föryngringsavverkning</t>
        </is>
      </c>
      <c r="D152" s="1" t="n">
        <v>44586</v>
      </c>
      <c r="E152" s="1" t="n">
        <v>46272</v>
      </c>
      <c r="F152" t="inlineStr">
        <is>
          <t>KALMAR LÄN</t>
        </is>
      </c>
      <c r="G152" t="inlineStr">
        <is>
          <t>KALMAR</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47516-2021</t>
        </is>
      </c>
      <c r="B153" t="inlineStr">
        <is>
          <t>avverkningsanmälan</t>
        </is>
      </c>
      <c r="C153" t="inlineStr">
        <is>
          <t>Föryngringsavverkning</t>
        </is>
      </c>
      <c r="D153" s="1" t="n">
        <v>44447</v>
      </c>
      <c r="E153" s="1" t="n">
        <v>46272</v>
      </c>
      <c r="F153" t="inlineStr">
        <is>
          <t>KALMAR LÄN</t>
        </is>
      </c>
      <c r="G153" t="inlineStr">
        <is>
          <t>KALMAR</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61961-2021</t>
        </is>
      </c>
      <c r="B154" t="inlineStr">
        <is>
          <t>avverkningsanmälan</t>
        </is>
      </c>
      <c r="C154" t="inlineStr">
        <is>
          <t>Föryngringsavverkning</t>
        </is>
      </c>
      <c r="D154" s="1" t="n">
        <v>44502</v>
      </c>
      <c r="E154" s="1" t="n">
        <v>46272</v>
      </c>
      <c r="F154" t="inlineStr">
        <is>
          <t>KALMAR LÄN</t>
        </is>
      </c>
      <c r="G154" t="inlineStr">
        <is>
          <t>KALMAR</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49283-2021</t>
        </is>
      </c>
      <c r="B155" t="inlineStr">
        <is>
          <t>avverkningsanmälan</t>
        </is>
      </c>
      <c r="C155" t="inlineStr">
        <is>
          <t>Föryngringsavverkning</t>
        </is>
      </c>
      <c r="D155" s="1" t="n">
        <v>44454</v>
      </c>
      <c r="E155" s="1" t="n">
        <v>46272</v>
      </c>
      <c r="F155" t="inlineStr">
        <is>
          <t>KALMAR LÄN</t>
        </is>
      </c>
      <c r="G155" t="inlineStr">
        <is>
          <t>KALMAR</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73755-2021</t>
        </is>
      </c>
      <c r="B156" t="inlineStr">
        <is>
          <t>avverkningsanmälan</t>
        </is>
      </c>
      <c r="C156" t="inlineStr">
        <is>
          <t>Föryngringsavverkning</t>
        </is>
      </c>
      <c r="D156" s="1" t="n">
        <v>44552</v>
      </c>
      <c r="E156" s="1" t="n">
        <v>46272</v>
      </c>
      <c r="F156" t="inlineStr">
        <is>
          <t>KALMAR LÄN</t>
        </is>
      </c>
      <c r="G156" t="inlineStr">
        <is>
          <t>KALMAR</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57390-2021</t>
        </is>
      </c>
      <c r="B157" t="inlineStr">
        <is>
          <t>avverkningsanmälan</t>
        </is>
      </c>
      <c r="C157" t="inlineStr">
        <is>
          <t>Föryngringsavverkning</t>
        </is>
      </c>
      <c r="D157" s="1" t="n">
        <v>44482</v>
      </c>
      <c r="E157" s="1" t="n">
        <v>46272</v>
      </c>
      <c r="F157" t="inlineStr">
        <is>
          <t>KALMAR LÄN</t>
        </is>
      </c>
      <c r="G157" t="inlineStr">
        <is>
          <t>KALMAR</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9871-2022</t>
        </is>
      </c>
      <c r="B158" t="inlineStr">
        <is>
          <t>avverkningsanmälan</t>
        </is>
      </c>
      <c r="C158" t="inlineStr">
        <is>
          <t>Föryngringsavverkning</t>
        </is>
      </c>
      <c r="D158" s="1" t="n">
        <v>44620</v>
      </c>
      <c r="E158" s="1" t="n">
        <v>46272</v>
      </c>
      <c r="F158" t="inlineStr">
        <is>
          <t>KALMAR LÄN</t>
        </is>
      </c>
      <c r="G158" t="inlineStr">
        <is>
          <t>KALMAR</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10705-2022</t>
        </is>
      </c>
      <c r="B159" t="inlineStr">
        <is>
          <t>avverkningsanmälan</t>
        </is>
      </c>
      <c r="C159" t="inlineStr">
        <is>
          <t>Föryngringsavverkning</t>
        </is>
      </c>
      <c r="D159" s="1" t="n">
        <v>44625</v>
      </c>
      <c r="E159" s="1" t="n">
        <v>46272</v>
      </c>
      <c r="F159" t="inlineStr">
        <is>
          <t>KALMAR LÄN</t>
        </is>
      </c>
      <c r="G159" t="inlineStr">
        <is>
          <t>KALMAR</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51134-2021</t>
        </is>
      </c>
      <c r="B160" t="inlineStr">
        <is>
          <t>avverkningsanmälan</t>
        </is>
      </c>
      <c r="C160" t="inlineStr">
        <is>
          <t>Föryngringsavverkning</t>
        </is>
      </c>
      <c r="D160" s="1" t="n">
        <v>44461</v>
      </c>
      <c r="E160" s="1" t="n">
        <v>46272</v>
      </c>
      <c r="F160" t="inlineStr">
        <is>
          <t>KALMAR LÄN</t>
        </is>
      </c>
      <c r="G160" t="inlineStr">
        <is>
          <t>KALMAR</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49751-2021</t>
        </is>
      </c>
      <c r="B161" t="inlineStr">
        <is>
          <t>avverkningsanmälan</t>
        </is>
      </c>
      <c r="C161" t="inlineStr">
        <is>
          <t>Föryngringsavverkning</t>
        </is>
      </c>
      <c r="D161" s="1" t="n">
        <v>44455</v>
      </c>
      <c r="E161" s="1" t="n">
        <v>46272</v>
      </c>
      <c r="F161" t="inlineStr">
        <is>
          <t>KALMAR LÄN</t>
        </is>
      </c>
      <c r="G161" t="inlineStr">
        <is>
          <t>KALMAR</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32921-2022</t>
        </is>
      </c>
      <c r="B162" t="inlineStr">
        <is>
          <t>avverkningsanmälan</t>
        </is>
      </c>
      <c r="C162" t="inlineStr">
        <is>
          <t>Föryngringsavverkning</t>
        </is>
      </c>
      <c r="D162" s="1" t="n">
        <v>44784</v>
      </c>
      <c r="E162" s="1" t="n">
        <v>46272</v>
      </c>
      <c r="F162" t="inlineStr">
        <is>
          <t>KALMAR LÄN</t>
        </is>
      </c>
      <c r="G162" t="inlineStr">
        <is>
          <t>KALMAR</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14478-2022</t>
        </is>
      </c>
      <c r="B163" t="inlineStr">
        <is>
          <t>avverkningsanmälan</t>
        </is>
      </c>
      <c r="C163" t="inlineStr">
        <is>
          <t>Föryngringsavverkning</t>
        </is>
      </c>
      <c r="D163" s="1" t="n">
        <v>44654</v>
      </c>
      <c r="E163" s="1" t="n">
        <v>46272</v>
      </c>
      <c r="F163" t="inlineStr">
        <is>
          <t>KALMAR LÄN</t>
        </is>
      </c>
      <c r="G163" t="inlineStr">
        <is>
          <t>KALMAR</t>
        </is>
      </c>
      <c r="I163" t="n">
        <v>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47825-2022</t>
        </is>
      </c>
      <c r="B164" t="inlineStr">
        <is>
          <t>avverkningsanmälan</t>
        </is>
      </c>
      <c r="C164" t="inlineStr">
        <is>
          <t>Föryngringsavverkning</t>
        </is>
      </c>
      <c r="D164" s="1" t="n">
        <v>44855</v>
      </c>
      <c r="E164" s="1" t="n">
        <v>46272</v>
      </c>
      <c r="F164" t="inlineStr">
        <is>
          <t>KALMAR LÄN</t>
        </is>
      </c>
      <c r="G164" t="inlineStr">
        <is>
          <t>KALMAR</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48365-2022</t>
        </is>
      </c>
      <c r="B165" t="inlineStr">
        <is>
          <t>avverkningsanmälan</t>
        </is>
      </c>
      <c r="C165" t="inlineStr">
        <is>
          <t>Föryngringsavverkning</t>
        </is>
      </c>
      <c r="D165" s="1" t="n">
        <v>44858</v>
      </c>
      <c r="E165" s="1" t="n">
        <v>46272</v>
      </c>
      <c r="F165" t="inlineStr">
        <is>
          <t>KALMAR LÄN</t>
        </is>
      </c>
      <c r="G165" t="inlineStr">
        <is>
          <t>KALMAR</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25510-2022</t>
        </is>
      </c>
      <c r="B166" t="inlineStr">
        <is>
          <t>avverkningsanmälan</t>
        </is>
      </c>
      <c r="C166" t="inlineStr">
        <is>
          <t>Föryngringsavverkning</t>
        </is>
      </c>
      <c r="D166" s="1" t="n">
        <v>44732</v>
      </c>
      <c r="E166" s="1" t="n">
        <v>46272</v>
      </c>
      <c r="F166" t="inlineStr">
        <is>
          <t>KALMAR LÄN</t>
        </is>
      </c>
      <c r="G166" t="inlineStr">
        <is>
          <t>KALMAR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37698-2022</t>
        </is>
      </c>
      <c r="B167" t="inlineStr">
        <is>
          <t>avverkningsanmälan</t>
        </is>
      </c>
      <c r="C167" t="inlineStr">
        <is>
          <t>Avverkning för annat ändamål</t>
        </is>
      </c>
      <c r="D167" s="1" t="n">
        <v>44810</v>
      </c>
      <c r="E167" s="1" t="n">
        <v>46272</v>
      </c>
      <c r="F167" t="inlineStr">
        <is>
          <t>KALMAR LÄN</t>
        </is>
      </c>
      <c r="G167" t="inlineStr">
        <is>
          <t>KALMAR</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49282-2021</t>
        </is>
      </c>
      <c r="B168" t="inlineStr">
        <is>
          <t>avverkningsanmälan</t>
        </is>
      </c>
      <c r="C168" t="inlineStr">
        <is>
          <t>Föryngringsavverkning</t>
        </is>
      </c>
      <c r="D168" s="1" t="n">
        <v>44454</v>
      </c>
      <c r="E168" s="1" t="n">
        <v>46272</v>
      </c>
      <c r="F168" t="inlineStr">
        <is>
          <t>KALMAR LÄN</t>
        </is>
      </c>
      <c r="G168" t="inlineStr">
        <is>
          <t>KALMAR</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47665-2021</t>
        </is>
      </c>
      <c r="B169" t="inlineStr">
        <is>
          <t>avverkningsanmälan</t>
        </is>
      </c>
      <c r="C169" t="inlineStr">
        <is>
          <t>Föryngringsavverkning</t>
        </is>
      </c>
      <c r="D169" s="1" t="n">
        <v>44448</v>
      </c>
      <c r="E169" s="1" t="n">
        <v>46272</v>
      </c>
      <c r="F169" t="inlineStr">
        <is>
          <t>KALMAR LÄN</t>
        </is>
      </c>
      <c r="G169" t="inlineStr">
        <is>
          <t>KALMAR</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51142-2021</t>
        </is>
      </c>
      <c r="B170" t="inlineStr">
        <is>
          <t>avverkningsanmälan</t>
        </is>
      </c>
      <c r="C170" t="inlineStr">
        <is>
          <t>Föryngringsavverkning</t>
        </is>
      </c>
      <c r="D170" s="1" t="n">
        <v>44461</v>
      </c>
      <c r="E170" s="1" t="n">
        <v>46272</v>
      </c>
      <c r="F170" t="inlineStr">
        <is>
          <t>KALMAR LÄN</t>
        </is>
      </c>
      <c r="G170" t="inlineStr">
        <is>
          <t>KALMAR</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48361-2022</t>
        </is>
      </c>
      <c r="B171" t="inlineStr">
        <is>
          <t>avverkningsanmälan</t>
        </is>
      </c>
      <c r="C171" t="inlineStr">
        <is>
          <t>Föryngringsavverkning</t>
        </is>
      </c>
      <c r="D171" s="1" t="n">
        <v>44858</v>
      </c>
      <c r="E171" s="1" t="n">
        <v>46272</v>
      </c>
      <c r="F171" t="inlineStr">
        <is>
          <t>KALMAR LÄN</t>
        </is>
      </c>
      <c r="G171" t="inlineStr">
        <is>
          <t>KALMAR</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64376-2021</t>
        </is>
      </c>
      <c r="B172" t="inlineStr">
        <is>
          <t>avverkningsanmälan</t>
        </is>
      </c>
      <c r="C172" t="inlineStr">
        <is>
          <t>Föryngringsavverkning</t>
        </is>
      </c>
      <c r="D172" s="1" t="n">
        <v>44511</v>
      </c>
      <c r="E172" s="1" t="n">
        <v>46272</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16804-2024</t>
        </is>
      </c>
      <c r="B173" t="inlineStr">
        <is>
          <t>avverkningsanmälan</t>
        </is>
      </c>
      <c r="C173" t="inlineStr">
        <is>
          <t>Föryngringsavverkning</t>
        </is>
      </c>
      <c r="D173" s="1" t="n">
        <v>45411</v>
      </c>
      <c r="E173" s="1" t="n">
        <v>46272</v>
      </c>
      <c r="F173" t="inlineStr">
        <is>
          <t>KALMAR LÄN</t>
        </is>
      </c>
      <c r="G173" t="inlineStr">
        <is>
          <t>KALMAR</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62456-2022</t>
        </is>
      </c>
      <c r="B174" t="inlineStr">
        <is>
          <t>avverkningsanmälan</t>
        </is>
      </c>
      <c r="C174" t="inlineStr">
        <is>
          <t>Föryngringsavverkning</t>
        </is>
      </c>
      <c r="D174" s="1" t="n">
        <v>44924</v>
      </c>
      <c r="E174" s="1" t="n">
        <v>46272</v>
      </c>
      <c r="F174" t="inlineStr">
        <is>
          <t>KALMAR LÄN</t>
        </is>
      </c>
      <c r="G174" t="inlineStr">
        <is>
          <t>KALMAR</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10614-2023</t>
        </is>
      </c>
      <c r="B175" t="inlineStr">
        <is>
          <t>avverkningsanmälan</t>
        </is>
      </c>
      <c r="C175" t="inlineStr">
        <is>
          <t>Föryngringsavverkning</t>
        </is>
      </c>
      <c r="D175" s="1" t="n">
        <v>44988</v>
      </c>
      <c r="E175" s="1" t="n">
        <v>46272</v>
      </c>
      <c r="F175" t="inlineStr">
        <is>
          <t>KALMAR LÄN</t>
        </is>
      </c>
      <c r="G175" t="inlineStr">
        <is>
          <t>KALMAR</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48223-2023</t>
        </is>
      </c>
      <c r="B176" t="inlineStr">
        <is>
          <t>avverkningsanmälan</t>
        </is>
      </c>
      <c r="C176" t="inlineStr">
        <is>
          <t>Föryngringsavverkning</t>
        </is>
      </c>
      <c r="D176" s="1" t="n">
        <v>45205</v>
      </c>
      <c r="E176" s="1" t="n">
        <v>46272</v>
      </c>
      <c r="F176" t="inlineStr">
        <is>
          <t>KALMAR LÄN</t>
        </is>
      </c>
      <c r="G176" t="inlineStr">
        <is>
          <t>KALMAR</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25699-2023</t>
        </is>
      </c>
      <c r="B177" t="inlineStr">
        <is>
          <t>avverkningsanmälan</t>
        </is>
      </c>
      <c r="C177" t="inlineStr">
        <is>
          <t>Föryngringsavverkning</t>
        </is>
      </c>
      <c r="D177" s="1" t="n">
        <v>45090</v>
      </c>
      <c r="E177" s="1" t="n">
        <v>46272</v>
      </c>
      <c r="F177" t="inlineStr">
        <is>
          <t>KALMAR LÄN</t>
        </is>
      </c>
      <c r="G177" t="inlineStr">
        <is>
          <t>KALMAR</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25700-2023</t>
        </is>
      </c>
      <c r="B178" t="inlineStr">
        <is>
          <t>avverkningsanmälan</t>
        </is>
      </c>
      <c r="C178" t="inlineStr">
        <is>
          <t>Föryngringsavverkning</t>
        </is>
      </c>
      <c r="D178" s="1" t="n">
        <v>45090</v>
      </c>
      <c r="E178" s="1" t="n">
        <v>46272</v>
      </c>
      <c r="F178" t="inlineStr">
        <is>
          <t>KALMAR LÄN</t>
        </is>
      </c>
      <c r="G178" t="inlineStr">
        <is>
          <t>KALMAR</t>
        </is>
      </c>
      <c r="I178" t="n">
        <v>0</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25740-2023</t>
        </is>
      </c>
      <c r="B179" t="inlineStr">
        <is>
          <t>avverkningsanmälan</t>
        </is>
      </c>
      <c r="C179" t="inlineStr">
        <is>
          <t>Föryngringsavverkning</t>
        </is>
      </c>
      <c r="D179" s="1" t="n">
        <v>45090</v>
      </c>
      <c r="E179" s="1" t="n">
        <v>46272</v>
      </c>
      <c r="F179" t="inlineStr">
        <is>
          <t>KALMAR LÄN</t>
        </is>
      </c>
      <c r="G179" t="inlineStr">
        <is>
          <t>KALMAR</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38244-2023</t>
        </is>
      </c>
      <c r="B180" t="inlineStr">
        <is>
          <t>avverkningsanmälan</t>
        </is>
      </c>
      <c r="C180" t="inlineStr">
        <is>
          <t>Föryngringsavverkning</t>
        </is>
      </c>
      <c r="D180" s="1" t="n">
        <v>45161</v>
      </c>
      <c r="E180" s="1" t="n">
        <v>46272</v>
      </c>
      <c r="F180" t="inlineStr">
        <is>
          <t>KALMAR LÄN</t>
        </is>
      </c>
      <c r="G180" t="inlineStr">
        <is>
          <t>KALMAR</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56010-2021</t>
        </is>
      </c>
      <c r="B181" t="inlineStr">
        <is>
          <t>avverkningsanmälan</t>
        </is>
      </c>
      <c r="C181" t="inlineStr">
        <is>
          <t>Föryngringsavverkning</t>
        </is>
      </c>
      <c r="D181" s="1" t="n">
        <v>44477</v>
      </c>
      <c r="E181" s="1" t="n">
        <v>46272</v>
      </c>
      <c r="F181" t="inlineStr">
        <is>
          <t>KALMAR LÄN</t>
        </is>
      </c>
      <c r="G181" t="inlineStr">
        <is>
          <t>KALMAR</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5460-2022</t>
        </is>
      </c>
      <c r="B182" t="inlineStr">
        <is>
          <t>avverkningsanmälan</t>
        </is>
      </c>
      <c r="C182" t="inlineStr">
        <is>
          <t>Föryngringsavverkning</t>
        </is>
      </c>
      <c r="D182" s="1" t="n">
        <v>44595</v>
      </c>
      <c r="E182" s="1" t="n">
        <v>46272</v>
      </c>
      <c r="F182" t="inlineStr">
        <is>
          <t>KALMAR LÄN</t>
        </is>
      </c>
      <c r="G182" t="inlineStr">
        <is>
          <t>KALMAR</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27600-2023</t>
        </is>
      </c>
      <c r="B183" t="inlineStr">
        <is>
          <t>avverkningsanmälan</t>
        </is>
      </c>
      <c r="C183" t="inlineStr">
        <is>
          <t>Föryngringsavverkning</t>
        </is>
      </c>
      <c r="D183" s="1" t="n">
        <v>45097</v>
      </c>
      <c r="E183" s="1" t="n">
        <v>46272</v>
      </c>
      <c r="F183" t="inlineStr">
        <is>
          <t>KALMAR LÄN</t>
        </is>
      </c>
      <c r="G183" t="inlineStr">
        <is>
          <t>KALMAR</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13141-2025</t>
        </is>
      </c>
      <c r="B184" t="inlineStr">
        <is>
          <t>avverkningsanmälan</t>
        </is>
      </c>
      <c r="C184" t="inlineStr">
        <is>
          <t>Föryngringsavverkning</t>
        </is>
      </c>
      <c r="D184" s="1" t="n">
        <v>45735</v>
      </c>
      <c r="E184" s="1" t="n">
        <v>46272</v>
      </c>
      <c r="F184" t="inlineStr">
        <is>
          <t>KALMAR LÄN</t>
        </is>
      </c>
      <c r="G184" t="inlineStr">
        <is>
          <t>KALMAR</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62941-2023</t>
        </is>
      </c>
      <c r="B185" t="inlineStr">
        <is>
          <t>avverkningsanmälan</t>
        </is>
      </c>
      <c r="C185" t="inlineStr">
        <is>
          <t>Föryngringsavverkning</t>
        </is>
      </c>
      <c r="D185" s="1" t="n">
        <v>45272</v>
      </c>
      <c r="E185" s="1" t="n">
        <v>46272</v>
      </c>
      <c r="F185" t="inlineStr">
        <is>
          <t>KALMAR LÄN</t>
        </is>
      </c>
      <c r="G185" t="inlineStr">
        <is>
          <t>KALMAR</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54745-2024</t>
        </is>
      </c>
      <c r="B186" t="inlineStr">
        <is>
          <t>avverkningsanmälan</t>
        </is>
      </c>
      <c r="C186" t="inlineStr">
        <is>
          <t>Avverkning för att bevara och utveckla /försöksver</t>
        </is>
      </c>
      <c r="D186" s="1" t="n">
        <v>45618</v>
      </c>
      <c r="E186" s="1" t="n">
        <v>46272</v>
      </c>
      <c r="F186" t="inlineStr">
        <is>
          <t>KALMAR LÄN</t>
        </is>
      </c>
      <c r="G186" t="inlineStr">
        <is>
          <t>KALMAR</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45755-2022</t>
        </is>
      </c>
      <c r="B187" t="inlineStr">
        <is>
          <t>avverkningsanmälan</t>
        </is>
      </c>
      <c r="C187" t="inlineStr">
        <is>
          <t>Föryngringsavverkning</t>
        </is>
      </c>
      <c r="D187" s="1" t="n">
        <v>44846</v>
      </c>
      <c r="E187" s="1" t="n">
        <v>46272</v>
      </c>
      <c r="F187" t="inlineStr">
        <is>
          <t>KALMAR LÄN</t>
        </is>
      </c>
      <c r="G187" t="inlineStr">
        <is>
          <t>KALMAR</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61927-2021</t>
        </is>
      </c>
      <c r="B188" t="inlineStr">
        <is>
          <t>avverkningsanmälan</t>
        </is>
      </c>
      <c r="C188" t="inlineStr">
        <is>
          <t>Föryngringsavverkning</t>
        </is>
      </c>
      <c r="D188" s="1" t="n">
        <v>44502</v>
      </c>
      <c r="E188" s="1" t="n">
        <v>46272</v>
      </c>
      <c r="F188" t="inlineStr">
        <is>
          <t>KALMAR LÄN</t>
        </is>
      </c>
      <c r="G188" t="inlineStr">
        <is>
          <t>KALMAR</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11487-2023</t>
        </is>
      </c>
      <c r="B189" t="inlineStr">
        <is>
          <t>avverkningsanmälan</t>
        </is>
      </c>
      <c r="C189" t="inlineStr">
        <is>
          <t>Föryngringsavverkning</t>
        </is>
      </c>
      <c r="D189" s="1" t="n">
        <v>44993</v>
      </c>
      <c r="E189" s="1" t="n">
        <v>46272</v>
      </c>
      <c r="F189" t="inlineStr">
        <is>
          <t>KALMAR LÄN</t>
        </is>
      </c>
      <c r="G189" t="inlineStr">
        <is>
          <t>KALMAR</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28292-2023</t>
        </is>
      </c>
      <c r="B190" t="inlineStr">
        <is>
          <t>avverkningsanmälan</t>
        </is>
      </c>
      <c r="C190" t="inlineStr">
        <is>
          <t>Föryngringsavverkning</t>
        </is>
      </c>
      <c r="D190" s="1" t="n">
        <v>45099</v>
      </c>
      <c r="E190" s="1" t="n">
        <v>46272</v>
      </c>
      <c r="F190" t="inlineStr">
        <is>
          <t>KALMAR LÄN</t>
        </is>
      </c>
      <c r="G190" t="inlineStr">
        <is>
          <t>KALMAR</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45896-2023</t>
        </is>
      </c>
      <c r="B191" t="inlineStr">
        <is>
          <t>avverkningsanmälan</t>
        </is>
      </c>
      <c r="C191" t="inlineStr">
        <is>
          <t>Föryngringsavverkning</t>
        </is>
      </c>
      <c r="D191" s="1" t="n">
        <v>45195</v>
      </c>
      <c r="E191" s="1" t="n">
        <v>46272</v>
      </c>
      <c r="F191" t="inlineStr">
        <is>
          <t>KALMAR LÄN</t>
        </is>
      </c>
      <c r="G191" t="inlineStr">
        <is>
          <t>KALMAR</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7812-2024</t>
        </is>
      </c>
      <c r="B192" t="inlineStr">
        <is>
          <t>avverkningsanmälan</t>
        </is>
      </c>
      <c r="C192" t="inlineStr">
        <is>
          <t>Föryngringsavverkning</t>
        </is>
      </c>
      <c r="D192" s="1" t="n">
        <v>45349</v>
      </c>
      <c r="E192" s="1" t="n">
        <v>46272</v>
      </c>
      <c r="F192" t="inlineStr">
        <is>
          <t>KALMAR LÄN</t>
        </is>
      </c>
      <c r="G192" t="inlineStr">
        <is>
          <t>KALMAR</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47989-2022</t>
        </is>
      </c>
      <c r="B193" t="inlineStr">
        <is>
          <t>avverkningsanmälan</t>
        </is>
      </c>
      <c r="C193" t="inlineStr">
        <is>
          <t>Föryngringsavverkning</t>
        </is>
      </c>
      <c r="D193" s="1" t="n">
        <v>44855</v>
      </c>
      <c r="E193" s="1" t="n">
        <v>46272</v>
      </c>
      <c r="F193" t="inlineStr">
        <is>
          <t>KALMAR LÄN</t>
        </is>
      </c>
      <c r="G193" t="inlineStr">
        <is>
          <t>KALMAR</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49324-2022</t>
        </is>
      </c>
      <c r="B194" t="inlineStr">
        <is>
          <t>avverkningsanmälan</t>
        </is>
      </c>
      <c r="C194" t="inlineStr">
        <is>
          <t>Föryngringsavverkning</t>
        </is>
      </c>
      <c r="D194" s="1" t="n">
        <v>44861</v>
      </c>
      <c r="E194" s="1" t="n">
        <v>46272</v>
      </c>
      <c r="F194" t="inlineStr">
        <is>
          <t>KALMAR LÄN</t>
        </is>
      </c>
      <c r="G194" t="inlineStr">
        <is>
          <t>KALMAR</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54462-2023</t>
        </is>
      </c>
      <c r="B195" t="inlineStr">
        <is>
          <t>avverkningsanmälan</t>
        </is>
      </c>
      <c r="C195" t="inlineStr">
        <is>
          <t>Föryngringsavverkning</t>
        </is>
      </c>
      <c r="D195" s="1" t="n">
        <v>45233</v>
      </c>
      <c r="E195" s="1" t="n">
        <v>46272</v>
      </c>
      <c r="F195" t="inlineStr">
        <is>
          <t>KALMAR LÄN</t>
        </is>
      </c>
      <c r="G195" t="inlineStr">
        <is>
          <t>KALMAR</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62457-2022</t>
        </is>
      </c>
      <c r="B196" t="inlineStr">
        <is>
          <t>avverkningsanmälan</t>
        </is>
      </c>
      <c r="C196" t="inlineStr">
        <is>
          <t>Föryngringsavverkning</t>
        </is>
      </c>
      <c r="D196" s="1" t="n">
        <v>44924</v>
      </c>
      <c r="E196" s="1" t="n">
        <v>46272</v>
      </c>
      <c r="F196" t="inlineStr">
        <is>
          <t>KALMAR LÄN</t>
        </is>
      </c>
      <c r="G196" t="inlineStr">
        <is>
          <t>KALMAR</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10930-2023</t>
        </is>
      </c>
      <c r="B197" t="inlineStr">
        <is>
          <t>avverkningsanmälan</t>
        </is>
      </c>
      <c r="C197" t="inlineStr">
        <is>
          <t>Föryngringsavverkning</t>
        </is>
      </c>
      <c r="D197" s="1" t="n">
        <v>44991</v>
      </c>
      <c r="E197" s="1" t="n">
        <v>46272</v>
      </c>
      <c r="F197" t="inlineStr">
        <is>
          <t>KALMAR LÄN</t>
        </is>
      </c>
      <c r="G197" t="inlineStr">
        <is>
          <t>KALMAR</t>
        </is>
      </c>
      <c r="I197" t="n">
        <v>9.6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41071-2023</t>
        </is>
      </c>
      <c r="B198" t="inlineStr">
        <is>
          <t>avverkningsanmälan</t>
        </is>
      </c>
      <c r="C198" t="inlineStr">
        <is>
          <t>Föryngringsavverkning</t>
        </is>
      </c>
      <c r="D198" s="1" t="n">
        <v>45173</v>
      </c>
      <c r="E198" s="1" t="n">
        <v>46272</v>
      </c>
      <c r="F198" t="inlineStr">
        <is>
          <t>KALMAR LÄN</t>
        </is>
      </c>
      <c r="G198" t="inlineStr">
        <is>
          <t>KALMAR</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41080-2023</t>
        </is>
      </c>
      <c r="B199" t="inlineStr">
        <is>
          <t>avverkningsanmälan</t>
        </is>
      </c>
      <c r="C199" t="inlineStr">
        <is>
          <t>Föryngringsavverkning</t>
        </is>
      </c>
      <c r="D199" s="1" t="n">
        <v>45173</v>
      </c>
      <c r="E199" s="1" t="n">
        <v>46272</v>
      </c>
      <c r="F199" t="inlineStr">
        <is>
          <t>KALMAR LÄN</t>
        </is>
      </c>
      <c r="G199" t="inlineStr">
        <is>
          <t>KALMAR</t>
        </is>
      </c>
      <c r="I199" t="n">
        <v>6.8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36560-2023</t>
        </is>
      </c>
      <c r="B200" t="inlineStr">
        <is>
          <t>avverkningsanmälan</t>
        </is>
      </c>
      <c r="C200" t="inlineStr">
        <is>
          <t>Föryngringsavverkning</t>
        </is>
      </c>
      <c r="D200" s="1" t="n">
        <v>45153</v>
      </c>
      <c r="E200" s="1" t="n">
        <v>46272</v>
      </c>
      <c r="F200" t="inlineStr">
        <is>
          <t>KALMAR LÄN</t>
        </is>
      </c>
      <c r="G200" t="inlineStr">
        <is>
          <t>KALMAR</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49878-2022</t>
        </is>
      </c>
      <c r="B201" t="inlineStr">
        <is>
          <t>avverkningsanmälan</t>
        </is>
      </c>
      <c r="C201" t="inlineStr">
        <is>
          <t>Föryngringsavverkning</t>
        </is>
      </c>
      <c r="D201" s="1" t="n">
        <v>44864</v>
      </c>
      <c r="E201" s="1" t="n">
        <v>46272</v>
      </c>
      <c r="F201" t="inlineStr">
        <is>
          <t>KALMAR LÄN</t>
        </is>
      </c>
      <c r="G201" t="inlineStr">
        <is>
          <t>KALMAR</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11812-2023</t>
        </is>
      </c>
      <c r="B202" t="inlineStr">
        <is>
          <t>avverkningsanmälan</t>
        </is>
      </c>
      <c r="C202" t="inlineStr">
        <is>
          <t>Föryngringsavverkning</t>
        </is>
      </c>
      <c r="D202" s="1" t="n">
        <v>44994</v>
      </c>
      <c r="E202" s="1" t="n">
        <v>46272</v>
      </c>
      <c r="F202" t="inlineStr">
        <is>
          <t>KALMAR LÄN</t>
        </is>
      </c>
      <c r="G202" t="inlineStr">
        <is>
          <t>KALMAR</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10345-2025</t>
        </is>
      </c>
      <c r="B203" t="inlineStr">
        <is>
          <t>avverkningsanmälan</t>
        </is>
      </c>
      <c r="C203" t="inlineStr">
        <is>
          <t>Föryngringsavverkning</t>
        </is>
      </c>
      <c r="D203" s="1" t="n">
        <v>45720</v>
      </c>
      <c r="E203" s="1" t="n">
        <v>46272</v>
      </c>
      <c r="F203" t="inlineStr">
        <is>
          <t>KALMAR LÄN</t>
        </is>
      </c>
      <c r="G203" t="inlineStr">
        <is>
          <t>KALMAR</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22131-2022</t>
        </is>
      </c>
      <c r="B204" t="inlineStr">
        <is>
          <t>avverkningsanmälan</t>
        </is>
      </c>
      <c r="C204" t="inlineStr">
        <is>
          <t>Föryngringsavverkning</t>
        </is>
      </c>
      <c r="D204" s="1" t="n">
        <v>44712</v>
      </c>
      <c r="E204" s="1" t="n">
        <v>46272</v>
      </c>
      <c r="F204" t="inlineStr">
        <is>
          <t>KALMAR LÄN</t>
        </is>
      </c>
      <c r="G204" t="inlineStr">
        <is>
          <t>KALMAR</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51155-2023</t>
        </is>
      </c>
      <c r="B205" t="inlineStr">
        <is>
          <t>avverkningsanmälan</t>
        </is>
      </c>
      <c r="C205" t="inlineStr">
        <is>
          <t>Föryngringsavverkning</t>
        </is>
      </c>
      <c r="D205" s="1" t="n">
        <v>45219</v>
      </c>
      <c r="E205" s="1" t="n">
        <v>46272</v>
      </c>
      <c r="F205" t="inlineStr">
        <is>
          <t>KALMAR LÄN</t>
        </is>
      </c>
      <c r="G205" t="inlineStr">
        <is>
          <t>KALMAR</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58357-2023</t>
        </is>
      </c>
      <c r="B206" t="inlineStr">
        <is>
          <t>avverkningsanmälan</t>
        </is>
      </c>
      <c r="C206" t="inlineStr">
        <is>
          <t>Föryngringsavverkning</t>
        </is>
      </c>
      <c r="D206" s="1" t="n">
        <v>45250</v>
      </c>
      <c r="E206" s="1" t="n">
        <v>46272</v>
      </c>
      <c r="F206" t="inlineStr">
        <is>
          <t>KALMAR LÄN</t>
        </is>
      </c>
      <c r="G206" t="inlineStr">
        <is>
          <t>KALMAR</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57489-2024</t>
        </is>
      </c>
      <c r="B207" t="inlineStr">
        <is>
          <t>avverkningsanmälan</t>
        </is>
      </c>
      <c r="C207" t="inlineStr">
        <is>
          <t>Föryngringsavverkning</t>
        </is>
      </c>
      <c r="D207" s="1" t="n">
        <v>45630</v>
      </c>
      <c r="E207" s="1" t="n">
        <v>46272</v>
      </c>
      <c r="F207" t="inlineStr">
        <is>
          <t>KALMAR LÄN</t>
        </is>
      </c>
      <c r="G207" t="inlineStr">
        <is>
          <t>KALMAR</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11417-2023</t>
        </is>
      </c>
      <c r="B208" t="inlineStr">
        <is>
          <t>avverkningsanmälan</t>
        </is>
      </c>
      <c r="C208" t="inlineStr">
        <is>
          <t>Föryngringsavverkning</t>
        </is>
      </c>
      <c r="D208" s="1" t="n">
        <v>44993</v>
      </c>
      <c r="E208" s="1" t="n">
        <v>46272</v>
      </c>
      <c r="F208" t="inlineStr">
        <is>
          <t>KALMAR LÄN</t>
        </is>
      </c>
      <c r="G208" t="inlineStr">
        <is>
          <t>KALMAR</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24001-2025</t>
        </is>
      </c>
      <c r="B209" t="inlineStr">
        <is>
          <t>avverkningsanmälan</t>
        </is>
      </c>
      <c r="C209" t="inlineStr">
        <is>
          <t>Föryngringsavverkning</t>
        </is>
      </c>
      <c r="D209" s="1" t="n">
        <v>45796</v>
      </c>
      <c r="E209" s="1" t="n">
        <v>46272</v>
      </c>
      <c r="F209" t="inlineStr">
        <is>
          <t>KALMAR LÄN</t>
        </is>
      </c>
      <c r="G209" t="inlineStr">
        <is>
          <t>KALMAR</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26322-2025</t>
        </is>
      </c>
      <c r="B210" t="inlineStr">
        <is>
          <t>avverkningsanmälan</t>
        </is>
      </c>
      <c r="C210" t="inlineStr">
        <is>
          <t>Föryngringsavverkning</t>
        </is>
      </c>
      <c r="D210" s="1" t="n">
        <v>45805</v>
      </c>
      <c r="E210" s="1" t="n">
        <v>46272</v>
      </c>
      <c r="F210" t="inlineStr">
        <is>
          <t>KALMAR LÄN</t>
        </is>
      </c>
      <c r="G210" t="inlineStr">
        <is>
          <t>KALMAR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51152-2023</t>
        </is>
      </c>
      <c r="B211" t="inlineStr">
        <is>
          <t>avverkningsanmälan</t>
        </is>
      </c>
      <c r="C211" t="inlineStr">
        <is>
          <t>Föryngringsavverkning</t>
        </is>
      </c>
      <c r="D211" s="1" t="n">
        <v>45219</v>
      </c>
      <c r="E211" s="1" t="n">
        <v>46272</v>
      </c>
      <c r="F211" t="inlineStr">
        <is>
          <t>KALMAR LÄN</t>
        </is>
      </c>
      <c r="G211" t="inlineStr">
        <is>
          <t>KALMAR</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44549-2023</t>
        </is>
      </c>
      <c r="B212" t="inlineStr">
        <is>
          <t>avverkningsanmälan</t>
        </is>
      </c>
      <c r="C212" t="inlineStr">
        <is>
          <t>Föryngringsavverkning</t>
        </is>
      </c>
      <c r="D212" s="1" t="n">
        <v>45189</v>
      </c>
      <c r="E212" s="1" t="n">
        <v>46272</v>
      </c>
      <c r="F212" t="inlineStr">
        <is>
          <t>KALMAR LÄN</t>
        </is>
      </c>
      <c r="G212" t="inlineStr">
        <is>
          <t>KALMAR</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62940-2023</t>
        </is>
      </c>
      <c r="B213" t="inlineStr">
        <is>
          <t>avverkningsanmälan</t>
        </is>
      </c>
      <c r="C213" t="inlineStr">
        <is>
          <t>Föryngringsavverkning</t>
        </is>
      </c>
      <c r="D213" s="1" t="n">
        <v>45272</v>
      </c>
      <c r="E213" s="1" t="n">
        <v>46272</v>
      </c>
      <c r="F213" t="inlineStr">
        <is>
          <t>KALMAR LÄN</t>
        </is>
      </c>
      <c r="G213" t="inlineStr">
        <is>
          <t>KALMAR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16331-2023</t>
        </is>
      </c>
      <c r="B214" t="inlineStr">
        <is>
          <t>avverkningsanmälan</t>
        </is>
      </c>
      <c r="C214" t="inlineStr">
        <is>
          <t>Avverkning för annat ändamål</t>
        </is>
      </c>
      <c r="D214" s="1" t="n">
        <v>45028</v>
      </c>
      <c r="E214" s="1" t="n">
        <v>46272</v>
      </c>
      <c r="F214" t="inlineStr">
        <is>
          <t>KALMAR LÄN</t>
        </is>
      </c>
      <c r="G214" t="inlineStr">
        <is>
          <t>KALMAR</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15179-2024</t>
        </is>
      </c>
      <c r="B215" t="inlineStr">
        <is>
          <t>avverkningsanmälan</t>
        </is>
      </c>
      <c r="C215" t="inlineStr">
        <is>
          <t>Föryngringsavverkning</t>
        </is>
      </c>
      <c r="D215" s="1" t="n">
        <v>45400</v>
      </c>
      <c r="E215" s="1" t="n">
        <v>46272</v>
      </c>
      <c r="F215" t="inlineStr">
        <is>
          <t>KALMAR LÄN</t>
        </is>
      </c>
      <c r="G215" t="inlineStr">
        <is>
          <t>KALMAR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57139-2023</t>
        </is>
      </c>
      <c r="B216" t="inlineStr">
        <is>
          <t>avverkningsanmälan</t>
        </is>
      </c>
      <c r="C216" t="inlineStr">
        <is>
          <t>Föryngringsavverkning</t>
        </is>
      </c>
      <c r="D216" s="1" t="n">
        <v>45239</v>
      </c>
      <c r="E216" s="1" t="n">
        <v>46272</v>
      </c>
      <c r="F216" t="inlineStr">
        <is>
          <t>KALMAR LÄN</t>
        </is>
      </c>
      <c r="G216" t="inlineStr">
        <is>
          <t>KALMAR</t>
        </is>
      </c>
      <c r="H216" t="inlineStr">
        <is>
          <t>Kyrkan</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32499-2022</t>
        </is>
      </c>
      <c r="B217" t="inlineStr">
        <is>
          <t>avverkningsanmälan</t>
        </is>
      </c>
      <c r="C217" t="inlineStr">
        <is>
          <t>Föryngringsavverkning</t>
        </is>
      </c>
      <c r="D217" s="1" t="n">
        <v>44782</v>
      </c>
      <c r="E217" s="1" t="n">
        <v>46272</v>
      </c>
      <c r="F217" t="inlineStr">
        <is>
          <t>KALMAR LÄN</t>
        </is>
      </c>
      <c r="G217" t="inlineStr">
        <is>
          <t>KALMAR</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217-2026</t>
        </is>
      </c>
      <c r="B218" t="inlineStr">
        <is>
          <t>avverkningsanmälan</t>
        </is>
      </c>
      <c r="C218" t="inlineStr">
        <is>
          <t>Föryngringsavverkning</t>
        </is>
      </c>
      <c r="D218" s="1" t="n">
        <v>46026</v>
      </c>
      <c r="E218" s="1" t="n">
        <v>46272</v>
      </c>
      <c r="F218" t="inlineStr">
        <is>
          <t>KALMAR LÄN</t>
        </is>
      </c>
      <c r="G218" t="inlineStr">
        <is>
          <t>KALMAR</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58800-2024</t>
        </is>
      </c>
      <c r="B219" t="inlineStr">
        <is>
          <t>avverkningsanmälan</t>
        </is>
      </c>
      <c r="C219" t="inlineStr">
        <is>
          <t>Föryngringsavverkning</t>
        </is>
      </c>
      <c r="D219" s="1" t="n">
        <v>45636</v>
      </c>
      <c r="E219" s="1" t="n">
        <v>46272</v>
      </c>
      <c r="F219" t="inlineStr">
        <is>
          <t>KALMAR LÄN</t>
        </is>
      </c>
      <c r="G219" t="inlineStr">
        <is>
          <t>KALMAR</t>
        </is>
      </c>
      <c r="I219" t="n">
        <v>6.3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20658-2023</t>
        </is>
      </c>
      <c r="B220" t="inlineStr">
        <is>
          <t>avverkningsanmälan</t>
        </is>
      </c>
      <c r="C220" t="inlineStr">
        <is>
          <t>Föryngringsavverkning</t>
        </is>
      </c>
      <c r="D220" s="1" t="n">
        <v>45058</v>
      </c>
      <c r="E220" s="1" t="n">
        <v>46272</v>
      </c>
      <c r="F220" t="inlineStr">
        <is>
          <t>KALMAR LÄN</t>
        </is>
      </c>
      <c r="G220" t="inlineStr">
        <is>
          <t>KALMAR</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27250-2025</t>
        </is>
      </c>
      <c r="B221" t="inlineStr">
        <is>
          <t>avverkningsanmälan</t>
        </is>
      </c>
      <c r="C221" t="inlineStr">
        <is>
          <t>Föryngringsavverkning</t>
        </is>
      </c>
      <c r="D221" s="1" t="n">
        <v>45812</v>
      </c>
      <c r="E221" s="1" t="n">
        <v>46272</v>
      </c>
      <c r="F221" t="inlineStr">
        <is>
          <t>KALMAR LÄN</t>
        </is>
      </c>
      <c r="G221" t="inlineStr">
        <is>
          <t>KALMAR</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10365-2025</t>
        </is>
      </c>
      <c r="B222" t="inlineStr">
        <is>
          <t>avverkningsanmälan</t>
        </is>
      </c>
      <c r="C222" t="inlineStr">
        <is>
          <t>Föryngringsavverkning</t>
        </is>
      </c>
      <c r="D222" s="1" t="n">
        <v>45720</v>
      </c>
      <c r="E222" s="1" t="n">
        <v>46272</v>
      </c>
      <c r="F222" t="inlineStr">
        <is>
          <t>KALMAR LÄN</t>
        </is>
      </c>
      <c r="G222" t="inlineStr">
        <is>
          <t>KALMAR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24002-2025</t>
        </is>
      </c>
      <c r="B223" t="inlineStr">
        <is>
          <t>avverkningsanmälan</t>
        </is>
      </c>
      <c r="C223" t="inlineStr">
        <is>
          <t>Föryngringsavverkning</t>
        </is>
      </c>
      <c r="D223" s="1" t="n">
        <v>45796</v>
      </c>
      <c r="E223" s="1" t="n">
        <v>46272</v>
      </c>
      <c r="F223" t="inlineStr">
        <is>
          <t>KALMAR LÄN</t>
        </is>
      </c>
      <c r="G223" t="inlineStr">
        <is>
          <t>KALMAR</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43038-2023</t>
        </is>
      </c>
      <c r="B224" t="inlineStr">
        <is>
          <t>avverkningsanmälan</t>
        </is>
      </c>
      <c r="C224" t="inlineStr">
        <is>
          <t>Föryngringsavverkning</t>
        </is>
      </c>
      <c r="D224" s="1" t="n">
        <v>45182</v>
      </c>
      <c r="E224" s="1" t="n">
        <v>46272</v>
      </c>
      <c r="F224" t="inlineStr">
        <is>
          <t>KALMAR LÄN</t>
        </is>
      </c>
      <c r="G224" t="inlineStr">
        <is>
          <t>KALMAR</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29226-2025</t>
        </is>
      </c>
      <c r="B225" t="inlineStr">
        <is>
          <t>avverkningsanmälan</t>
        </is>
      </c>
      <c r="C225" t="inlineStr">
        <is>
          <t>Föryngringsavverkning</t>
        </is>
      </c>
      <c r="D225" s="1" t="n">
        <v>45824</v>
      </c>
      <c r="E225" s="1" t="n">
        <v>46272</v>
      </c>
      <c r="F225" t="inlineStr">
        <is>
          <t>KALMAR LÄN</t>
        </is>
      </c>
      <c r="G225" t="inlineStr">
        <is>
          <t>KALMAR</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30140-2023</t>
        </is>
      </c>
      <c r="B226" t="inlineStr">
        <is>
          <t>avverkningsanmälan</t>
        </is>
      </c>
      <c r="C226" t="inlineStr">
        <is>
          <t>Föryngringsavverkning</t>
        </is>
      </c>
      <c r="D226" s="1" t="n">
        <v>45110</v>
      </c>
      <c r="E226" s="1" t="n">
        <v>46272</v>
      </c>
      <c r="F226" t="inlineStr">
        <is>
          <t>KALMAR LÄN</t>
        </is>
      </c>
      <c r="G226" t="inlineStr">
        <is>
          <t>KALMAR</t>
        </is>
      </c>
      <c r="H226" t="inlineStr">
        <is>
          <t>Sveaskog</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28932-2023</t>
        </is>
      </c>
      <c r="B227" t="inlineStr">
        <is>
          <t>avverkningsanmälan</t>
        </is>
      </c>
      <c r="C227" t="inlineStr">
        <is>
          <t>Föryngringsavverkning</t>
        </is>
      </c>
      <c r="D227" s="1" t="n">
        <v>45104</v>
      </c>
      <c r="E227" s="1" t="n">
        <v>46272</v>
      </c>
      <c r="F227" t="inlineStr">
        <is>
          <t>KALMAR LÄN</t>
        </is>
      </c>
      <c r="G227" t="inlineStr">
        <is>
          <t>KALMAR</t>
        </is>
      </c>
      <c r="H227" t="inlineStr">
        <is>
          <t>Sveaskog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28978-2023</t>
        </is>
      </c>
      <c r="B228" t="inlineStr">
        <is>
          <t>avverkningsanmälan</t>
        </is>
      </c>
      <c r="C228" t="inlineStr">
        <is>
          <t>Föryngringsavverkning</t>
        </is>
      </c>
      <c r="D228" s="1" t="n">
        <v>45104</v>
      </c>
      <c r="E228" s="1" t="n">
        <v>46272</v>
      </c>
      <c r="F228" t="inlineStr">
        <is>
          <t>KALMAR LÄN</t>
        </is>
      </c>
      <c r="G228" t="inlineStr">
        <is>
          <t>KALMAR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28985-2023</t>
        </is>
      </c>
      <c r="B229" t="inlineStr">
        <is>
          <t>avverkningsanmälan</t>
        </is>
      </c>
      <c r="C229" t="inlineStr">
        <is>
          <t>Föryngringsavverkning</t>
        </is>
      </c>
      <c r="D229" s="1" t="n">
        <v>45104</v>
      </c>
      <c r="E229" s="1" t="n">
        <v>46272</v>
      </c>
      <c r="F229" t="inlineStr">
        <is>
          <t>KALMAR LÄN</t>
        </is>
      </c>
      <c r="G229" t="inlineStr">
        <is>
          <t>KALMAR</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6642-2024</t>
        </is>
      </c>
      <c r="B230" t="inlineStr">
        <is>
          <t>avverkningsanmälan</t>
        </is>
      </c>
      <c r="C230" t="inlineStr">
        <is>
          <t>Föryngringsavverkning</t>
        </is>
      </c>
      <c r="D230" s="1" t="n">
        <v>45341</v>
      </c>
      <c r="E230" s="1" t="n">
        <v>46272</v>
      </c>
      <c r="F230" t="inlineStr">
        <is>
          <t>KALMAR LÄN</t>
        </is>
      </c>
      <c r="G230" t="inlineStr">
        <is>
          <t>KALMAR</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68423-2021</t>
        </is>
      </c>
      <c r="B231" t="inlineStr">
        <is>
          <t>avverkningsanmälan</t>
        </is>
      </c>
      <c r="C231" t="inlineStr">
        <is>
          <t>Föryngringsavverkning</t>
        </is>
      </c>
      <c r="D231" s="1" t="n">
        <v>44529</v>
      </c>
      <c r="E231" s="1" t="n">
        <v>46272</v>
      </c>
      <c r="F231" t="inlineStr">
        <is>
          <t>KALMAR LÄN</t>
        </is>
      </c>
      <c r="G231" t="inlineStr">
        <is>
          <t>KALMAR</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5949-2024</t>
        </is>
      </c>
      <c r="B232" t="inlineStr">
        <is>
          <t>avverkningsanmälan</t>
        </is>
      </c>
      <c r="C232" t="inlineStr">
        <is>
          <t>Föryngringsavverkning</t>
        </is>
      </c>
      <c r="D232" s="1" t="n">
        <v>45335</v>
      </c>
      <c r="E232" s="1" t="n">
        <v>46272</v>
      </c>
      <c r="F232" t="inlineStr">
        <is>
          <t>KALMAR LÄN</t>
        </is>
      </c>
      <c r="G232" t="inlineStr">
        <is>
          <t>KALMAR</t>
        </is>
      </c>
      <c r="H232" t="inlineStr">
        <is>
          <t>Kyrkan</t>
        </is>
      </c>
      <c r="I232" t="n">
        <v>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33141-2025</t>
        </is>
      </c>
      <c r="B233" t="inlineStr">
        <is>
          <t>avverkningsanmälan</t>
        </is>
      </c>
      <c r="C233" t="inlineStr">
        <is>
          <t>Föryngringsavverkning</t>
        </is>
      </c>
      <c r="D233" s="1" t="n">
        <v>45840</v>
      </c>
      <c r="E233" s="1" t="n">
        <v>46272</v>
      </c>
      <c r="F233" t="inlineStr">
        <is>
          <t>KALMAR LÄN</t>
        </is>
      </c>
      <c r="G233" t="inlineStr">
        <is>
          <t>KALMAR</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42259-2023</t>
        </is>
      </c>
      <c r="B234" t="inlineStr">
        <is>
          <t>avverkningsanmälan</t>
        </is>
      </c>
      <c r="C234" t="inlineStr">
        <is>
          <t>Föryngringsavverkning</t>
        </is>
      </c>
      <c r="D234" s="1" t="n">
        <v>45180</v>
      </c>
      <c r="E234" s="1" t="n">
        <v>46272</v>
      </c>
      <c r="F234" t="inlineStr">
        <is>
          <t>KALMAR LÄN</t>
        </is>
      </c>
      <c r="G234" t="inlineStr">
        <is>
          <t>KALMAR</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7495-2023</t>
        </is>
      </c>
      <c r="B235" t="inlineStr">
        <is>
          <t>avverkningsanmälan</t>
        </is>
      </c>
      <c r="C235" t="inlineStr">
        <is>
          <t>Föryngringsavverkning</t>
        </is>
      </c>
      <c r="D235" s="1" t="n">
        <v>44971</v>
      </c>
      <c r="E235" s="1" t="n">
        <v>46272</v>
      </c>
      <c r="F235" t="inlineStr">
        <is>
          <t>KALMAR LÄN</t>
        </is>
      </c>
      <c r="G235" t="inlineStr">
        <is>
          <t>KALMAR</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43892-2025</t>
        </is>
      </c>
      <c r="B236" t="inlineStr">
        <is>
          <t>avverkningsanmälan</t>
        </is>
      </c>
      <c r="C236" t="inlineStr">
        <is>
          <t>Föryngringsavverkning</t>
        </is>
      </c>
      <c r="D236" s="1" t="n">
        <v>45912</v>
      </c>
      <c r="E236" s="1" t="n">
        <v>46272</v>
      </c>
      <c r="F236" t="inlineStr">
        <is>
          <t>KALMAR LÄN</t>
        </is>
      </c>
      <c r="G236" t="inlineStr">
        <is>
          <t>KALMAR</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43891-2025</t>
        </is>
      </c>
      <c r="B237" t="inlineStr">
        <is>
          <t>avverkningsanmälan</t>
        </is>
      </c>
      <c r="C237" t="inlineStr">
        <is>
          <t>Föryngringsavverkning</t>
        </is>
      </c>
      <c r="D237" s="1" t="n">
        <v>45912</v>
      </c>
      <c r="E237" s="1" t="n">
        <v>46272</v>
      </c>
      <c r="F237" t="inlineStr">
        <is>
          <t>KALMAR LÄN</t>
        </is>
      </c>
      <c r="G237" t="inlineStr">
        <is>
          <t>KALMAR</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21384-2023</t>
        </is>
      </c>
      <c r="B238" t="inlineStr">
        <is>
          <t>avverkningsanmälan</t>
        </is>
      </c>
      <c r="C238" t="inlineStr">
        <is>
          <t>Föryngringsavverkning</t>
        </is>
      </c>
      <c r="D238" s="1" t="n">
        <v>45061</v>
      </c>
      <c r="E238" s="1" t="n">
        <v>46272</v>
      </c>
      <c r="F238" t="inlineStr">
        <is>
          <t>KALMAR LÄN</t>
        </is>
      </c>
      <c r="G238" t="inlineStr">
        <is>
          <t>KALMAR</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9534-2022</t>
        </is>
      </c>
      <c r="B239" t="inlineStr">
        <is>
          <t>avverkningsanmälan</t>
        </is>
      </c>
      <c r="C239" t="inlineStr">
        <is>
          <t>Föryngringsavverkning</t>
        </is>
      </c>
      <c r="D239" s="1" t="n">
        <v>44617</v>
      </c>
      <c r="E239" s="1" t="n">
        <v>46272</v>
      </c>
      <c r="F239" t="inlineStr">
        <is>
          <t>KALMAR LÄN</t>
        </is>
      </c>
      <c r="G239" t="inlineStr">
        <is>
          <t>KALMAR</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9535-2022</t>
        </is>
      </c>
      <c r="B240" t="inlineStr">
        <is>
          <t>avverkningsanmälan</t>
        </is>
      </c>
      <c r="C240" t="inlineStr">
        <is>
          <t>Föryngringsavverkning</t>
        </is>
      </c>
      <c r="D240" s="1" t="n">
        <v>44617</v>
      </c>
      <c r="E240" s="1" t="n">
        <v>46272</v>
      </c>
      <c r="F240" t="inlineStr">
        <is>
          <t>KALMAR LÄN</t>
        </is>
      </c>
      <c r="G240" t="inlineStr">
        <is>
          <t>KALMAR</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9712-2023</t>
        </is>
      </c>
      <c r="B241" t="inlineStr">
        <is>
          <t>avverkningsanmälan</t>
        </is>
      </c>
      <c r="C241" t="inlineStr">
        <is>
          <t>Föryngringsavverkning</t>
        </is>
      </c>
      <c r="D241" s="1" t="n">
        <v>44984</v>
      </c>
      <c r="E241" s="1" t="n">
        <v>46272</v>
      </c>
      <c r="F241" t="inlineStr">
        <is>
          <t>KALMAR LÄN</t>
        </is>
      </c>
      <c r="G241" t="inlineStr">
        <is>
          <t>KALMAR</t>
        </is>
      </c>
      <c r="I241" t="n">
        <v>1.1</v>
      </c>
      <c r="J241" t="n">
        <v>0</v>
      </c>
      <c r="K241" t="n">
        <v>0</v>
      </c>
      <c r="L241" t="n">
        <v>0</v>
      </c>
      <c r="M241" t="n">
        <v>0</v>
      </c>
      <c r="N241" t="n">
        <v>0</v>
      </c>
      <c r="O241" t="n">
        <v>0</v>
      </c>
      <c r="P241" t="n">
        <v>0</v>
      </c>
      <c r="Q241" t="n">
        <v>0</v>
      </c>
      <c r="R241" t="n">
        <v>0</v>
      </c>
      <c r="S241" t="n">
        <v>0</v>
      </c>
      <c r="T241" t="n">
        <v>0</v>
      </c>
      <c r="U241" t="n">
        <v>0</v>
      </c>
      <c r="V241" s="2" t="inlineStr"/>
      <c r="Z241">
        <f>HYPERLINK("https://klasma.github.io/Logging_0880/knärot/A 9712-2023 karta knärot.png", "A 9712-2023")</f>
        <v/>
      </c>
      <c r="AA241">
        <f>HYPERLINK("https://klasma.github.io/Logging_0880/klagomål/A 9712-2023 FSC-klagomål.docx", "A 9712-2023")</f>
        <v/>
      </c>
      <c r="AB241">
        <f>HYPERLINK("https://klasma.github.io/Logging_0880/klagomålsmail/A 9712-2023 FSC-klagomål mail.docx", "A 9712-2023")</f>
        <v/>
      </c>
      <c r="AC241">
        <f>HYPERLINK("https://klasma.github.io/Logging_0880/tillsyn/A 9712-2023 tillsynsbegäran.docx", "A 9712-2023")</f>
        <v/>
      </c>
      <c r="AD241">
        <f>HYPERLINK("https://klasma.github.io/Logging_0880/tillsynsmail/A 9712-2023 tillsynsbegäran mail.docx", "A 9712-2023")</f>
        <v/>
      </c>
    </row>
    <row r="242" ht="15" customHeight="1">
      <c r="A242" t="inlineStr">
        <is>
          <t>A 9727-2023</t>
        </is>
      </c>
      <c r="B242" t="inlineStr">
        <is>
          <t>avverkningsanmälan</t>
        </is>
      </c>
      <c r="C242" t="inlineStr">
        <is>
          <t>Föryngringsavverkning</t>
        </is>
      </c>
      <c r="D242" s="1" t="n">
        <v>44984</v>
      </c>
      <c r="E242" s="1" t="n">
        <v>46272</v>
      </c>
      <c r="F242" t="inlineStr">
        <is>
          <t>KALMAR LÄN</t>
        </is>
      </c>
      <c r="G242" t="inlineStr">
        <is>
          <t>KALMAR</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45691-2025</t>
        </is>
      </c>
      <c r="B243" t="inlineStr">
        <is>
          <t>avverkningsanmälan</t>
        </is>
      </c>
      <c r="C243" t="inlineStr">
        <is>
          <t>Föryngringsavverkning</t>
        </is>
      </c>
      <c r="D243" s="1" t="n">
        <v>45923</v>
      </c>
      <c r="E243" s="1" t="n">
        <v>46272</v>
      </c>
      <c r="F243" t="inlineStr">
        <is>
          <t>KALMAR LÄN</t>
        </is>
      </c>
      <c r="G243" t="inlineStr">
        <is>
          <t>KALMAR</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46092-2025</t>
        </is>
      </c>
      <c r="B244" t="inlineStr">
        <is>
          <t>avverkningsanmälan</t>
        </is>
      </c>
      <c r="C244" t="inlineStr">
        <is>
          <t>Föryngringsavverkning</t>
        </is>
      </c>
      <c r="D244" s="1" t="n">
        <v>45924</v>
      </c>
      <c r="E244" s="1" t="n">
        <v>46272</v>
      </c>
      <c r="F244" t="inlineStr">
        <is>
          <t>KALMAR LÄN</t>
        </is>
      </c>
      <c r="G244" t="inlineStr">
        <is>
          <t>KALMAR</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33780-2025</t>
        </is>
      </c>
      <c r="B245" t="inlineStr">
        <is>
          <t>avverkningsanmälan</t>
        </is>
      </c>
      <c r="C245" t="inlineStr">
        <is>
          <t>Avverkning för att bevara och utveckla /försöksver</t>
        </is>
      </c>
      <c r="D245" s="1" t="n">
        <v>45842</v>
      </c>
      <c r="E245" s="1" t="n">
        <v>46272</v>
      </c>
      <c r="F245" t="inlineStr">
        <is>
          <t>KALMAR LÄN</t>
        </is>
      </c>
      <c r="G245" t="inlineStr">
        <is>
          <t>KALMAR</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33816-2025</t>
        </is>
      </c>
      <c r="B246" t="inlineStr">
        <is>
          <t>avverkningsanmälan</t>
        </is>
      </c>
      <c r="C246" t="inlineStr">
        <is>
          <t>Föryngringsavverkning</t>
        </is>
      </c>
      <c r="D246" s="1" t="n">
        <v>45842</v>
      </c>
      <c r="E246" s="1" t="n">
        <v>46272</v>
      </c>
      <c r="F246" t="inlineStr">
        <is>
          <t>KALMAR LÄN</t>
        </is>
      </c>
      <c r="G246" t="inlineStr">
        <is>
          <t>KALMAR</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13734-2023</t>
        </is>
      </c>
      <c r="B247" t="inlineStr">
        <is>
          <t>avverkningsanmälan</t>
        </is>
      </c>
      <c r="C247" t="inlineStr">
        <is>
          <t>Föryngringsavverkning</t>
        </is>
      </c>
      <c r="D247" s="1" t="n">
        <v>45007</v>
      </c>
      <c r="E247" s="1" t="n">
        <v>46272</v>
      </c>
      <c r="F247" t="inlineStr">
        <is>
          <t>KALMAR LÄN</t>
        </is>
      </c>
      <c r="G247" t="inlineStr">
        <is>
          <t>KALMAR</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13735-2023</t>
        </is>
      </c>
      <c r="B248" t="inlineStr">
        <is>
          <t>avverkningsanmälan</t>
        </is>
      </c>
      <c r="C248" t="inlineStr">
        <is>
          <t>Föryngringsavverkning</t>
        </is>
      </c>
      <c r="D248" s="1" t="n">
        <v>45007</v>
      </c>
      <c r="E248" s="1" t="n">
        <v>46272</v>
      </c>
      <c r="F248" t="inlineStr">
        <is>
          <t>KALMAR LÄN</t>
        </is>
      </c>
      <c r="G248" t="inlineStr">
        <is>
          <t>KALMAR</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48225-2023</t>
        </is>
      </c>
      <c r="B249" t="inlineStr">
        <is>
          <t>avverkningsanmälan</t>
        </is>
      </c>
      <c r="C249" t="inlineStr">
        <is>
          <t>Föryngringsavverkning</t>
        </is>
      </c>
      <c r="D249" s="1" t="n">
        <v>45205</v>
      </c>
      <c r="E249" s="1" t="n">
        <v>46272</v>
      </c>
      <c r="F249" t="inlineStr">
        <is>
          <t>KALMAR LÄN</t>
        </is>
      </c>
      <c r="G249" t="inlineStr">
        <is>
          <t>KALMAR</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47417-2025</t>
        </is>
      </c>
      <c r="B250" t="inlineStr">
        <is>
          <t>avverkningsanmälan</t>
        </is>
      </c>
      <c r="C250" t="inlineStr">
        <is>
          <t>Föryngringsavverkning</t>
        </is>
      </c>
      <c r="D250" s="1" t="n">
        <v>45930</v>
      </c>
      <c r="E250" s="1" t="n">
        <v>46272</v>
      </c>
      <c r="F250" t="inlineStr">
        <is>
          <t>KALMAR LÄN</t>
        </is>
      </c>
      <c r="G250" t="inlineStr">
        <is>
          <t>KALMAR</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27109-2023</t>
        </is>
      </c>
      <c r="B251" t="inlineStr">
        <is>
          <t>avverkningsanmälan</t>
        </is>
      </c>
      <c r="C251" t="inlineStr">
        <is>
          <t>Föryngringsavverkning</t>
        </is>
      </c>
      <c r="D251" s="1" t="n">
        <v>45096</v>
      </c>
      <c r="E251" s="1" t="n">
        <v>46272</v>
      </c>
      <c r="F251" t="inlineStr">
        <is>
          <t>KALMAR LÄN</t>
        </is>
      </c>
      <c r="G251" t="inlineStr">
        <is>
          <t>KALMAR</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47875-2025</t>
        </is>
      </c>
      <c r="B252" t="inlineStr">
        <is>
          <t>avverkningsanmälan</t>
        </is>
      </c>
      <c r="C252" t="inlineStr">
        <is>
          <t>Föryngringsavverkning</t>
        </is>
      </c>
      <c r="D252" s="1" t="n">
        <v>45932</v>
      </c>
      <c r="E252" s="1" t="n">
        <v>46272</v>
      </c>
      <c r="F252" t="inlineStr">
        <is>
          <t>KALMAR LÄN</t>
        </is>
      </c>
      <c r="G252" t="inlineStr">
        <is>
          <t>KALMAR</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40583-2023</t>
        </is>
      </c>
      <c r="B253" t="inlineStr">
        <is>
          <t>avverkningsanmälan</t>
        </is>
      </c>
      <c r="C253" t="inlineStr">
        <is>
          <t>Föryngringsavverkning</t>
        </is>
      </c>
      <c r="D253" s="1" t="n">
        <v>45170</v>
      </c>
      <c r="E253" s="1" t="n">
        <v>46272</v>
      </c>
      <c r="F253" t="inlineStr">
        <is>
          <t>KALMAR LÄN</t>
        </is>
      </c>
      <c r="G253" t="inlineStr">
        <is>
          <t>KALMAR</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35799-2025</t>
        </is>
      </c>
      <c r="B254" t="inlineStr">
        <is>
          <t>avverkningsanmälan</t>
        </is>
      </c>
      <c r="C254" t="inlineStr">
        <is>
          <t>Föryngringsavverkning</t>
        </is>
      </c>
      <c r="D254" s="1" t="n">
        <v>45861</v>
      </c>
      <c r="E254" s="1" t="n">
        <v>46272</v>
      </c>
      <c r="F254" t="inlineStr">
        <is>
          <t>KALMAR LÄN</t>
        </is>
      </c>
      <c r="G254" t="inlineStr">
        <is>
          <t>KALMAR</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49711-2023</t>
        </is>
      </c>
      <c r="B255" t="inlineStr">
        <is>
          <t>avverkningsanmälan</t>
        </is>
      </c>
      <c r="C255" t="inlineStr">
        <is>
          <t>Föryngringsavverkning</t>
        </is>
      </c>
      <c r="D255" s="1" t="n">
        <v>45212</v>
      </c>
      <c r="E255" s="1" t="n">
        <v>46272</v>
      </c>
      <c r="F255" t="inlineStr">
        <is>
          <t>KALMAR LÄN</t>
        </is>
      </c>
      <c r="G255" t="inlineStr">
        <is>
          <t>KALMAR</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30860-2025</t>
        </is>
      </c>
      <c r="B256" t="inlineStr">
        <is>
          <t>avverkningsanmälan</t>
        </is>
      </c>
      <c r="C256" t="inlineStr">
        <is>
          <t>Föryngringsavverkning</t>
        </is>
      </c>
      <c r="D256" s="1" t="n">
        <v>45831</v>
      </c>
      <c r="E256" s="1" t="n">
        <v>46272</v>
      </c>
      <c r="F256" t="inlineStr">
        <is>
          <t>KALMAR LÄN</t>
        </is>
      </c>
      <c r="G256" t="inlineStr">
        <is>
          <t>KALMAR</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26087-2023</t>
        </is>
      </c>
      <c r="B257" t="inlineStr">
        <is>
          <t>avverkningsanmälan</t>
        </is>
      </c>
      <c r="C257" t="inlineStr">
        <is>
          <t>Föryngringsavverkning</t>
        </is>
      </c>
      <c r="D257" s="1" t="n">
        <v>45091</v>
      </c>
      <c r="E257" s="1" t="n">
        <v>46272</v>
      </c>
      <c r="F257" t="inlineStr">
        <is>
          <t>KALMAR LÄN</t>
        </is>
      </c>
      <c r="G257" t="inlineStr">
        <is>
          <t>KALMAR</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49521-2025</t>
        </is>
      </c>
      <c r="B258" t="inlineStr">
        <is>
          <t>avverkningsanmälan</t>
        </is>
      </c>
      <c r="C258" t="inlineStr">
        <is>
          <t>Föryngringsavverkning</t>
        </is>
      </c>
      <c r="D258" s="1" t="n">
        <v>45939</v>
      </c>
      <c r="E258" s="1" t="n">
        <v>46272</v>
      </c>
      <c r="F258" t="inlineStr">
        <is>
          <t>KALMAR LÄN</t>
        </is>
      </c>
      <c r="G258" t="inlineStr">
        <is>
          <t>KALMAR</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19042-2025</t>
        </is>
      </c>
      <c r="B259" t="inlineStr">
        <is>
          <t>avverkningsanmälan</t>
        </is>
      </c>
      <c r="C259" t="inlineStr">
        <is>
          <t>Föryngringsavverkning</t>
        </is>
      </c>
      <c r="D259" s="1" t="n">
        <v>45764</v>
      </c>
      <c r="E259" s="1" t="n">
        <v>46272</v>
      </c>
      <c r="F259" t="inlineStr">
        <is>
          <t>KALMAR LÄN</t>
        </is>
      </c>
      <c r="G259" t="inlineStr">
        <is>
          <t>KALMAR</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21278-2025</t>
        </is>
      </c>
      <c r="B260" t="inlineStr">
        <is>
          <t>avverkningsanmälan</t>
        </is>
      </c>
      <c r="C260" t="inlineStr">
        <is>
          <t>Föryngringsavverkning</t>
        </is>
      </c>
      <c r="D260" s="1" t="n">
        <v>45779</v>
      </c>
      <c r="E260" s="1" t="n">
        <v>46272</v>
      </c>
      <c r="F260" t="inlineStr">
        <is>
          <t>KALMAR LÄN</t>
        </is>
      </c>
      <c r="G260" t="inlineStr">
        <is>
          <t>KALMAR</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13416-2022</t>
        </is>
      </c>
      <c r="B261" t="inlineStr">
        <is>
          <t>avverkningsanmälan</t>
        </is>
      </c>
      <c r="C261" t="inlineStr">
        <is>
          <t>Föryngringsavverkning</t>
        </is>
      </c>
      <c r="D261" s="1" t="n">
        <v>44645</v>
      </c>
      <c r="E261" s="1" t="n">
        <v>46272</v>
      </c>
      <c r="F261" t="inlineStr">
        <is>
          <t>KALMAR LÄN</t>
        </is>
      </c>
      <c r="G261" t="inlineStr">
        <is>
          <t>KALMAR</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7742-2023</t>
        </is>
      </c>
      <c r="B262" t="inlineStr">
        <is>
          <t>avverkningsanmälan</t>
        </is>
      </c>
      <c r="C262" t="inlineStr">
        <is>
          <t>Föryngringsavverkning</t>
        </is>
      </c>
      <c r="D262" s="1" t="n">
        <v>44973</v>
      </c>
      <c r="E262" s="1" t="n">
        <v>46272</v>
      </c>
      <c r="F262" t="inlineStr">
        <is>
          <t>KALMAR LÄN</t>
        </is>
      </c>
      <c r="G262" t="inlineStr">
        <is>
          <t>KALMAR</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36883-2025</t>
        </is>
      </c>
      <c r="B263" t="inlineStr">
        <is>
          <t>avverkningsanmälan</t>
        </is>
      </c>
      <c r="C263" t="inlineStr">
        <is>
          <t>Föryngringsavverkning</t>
        </is>
      </c>
      <c r="D263" s="1" t="n">
        <v>45874</v>
      </c>
      <c r="E263" s="1" t="n">
        <v>46272</v>
      </c>
      <c r="F263" t="inlineStr">
        <is>
          <t>KALMAR LÄN</t>
        </is>
      </c>
      <c r="G263" t="inlineStr">
        <is>
          <t>KALMAR</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22055-2025</t>
        </is>
      </c>
      <c r="B264" t="inlineStr">
        <is>
          <t>avverkningsanmälan</t>
        </is>
      </c>
      <c r="C264" t="inlineStr">
        <is>
          <t>Föryngringsavverkning</t>
        </is>
      </c>
      <c r="D264" s="1" t="n">
        <v>45785</v>
      </c>
      <c r="E264" s="1" t="n">
        <v>46272</v>
      </c>
      <c r="F264" t="inlineStr">
        <is>
          <t>KALMAR LÄN</t>
        </is>
      </c>
      <c r="G264" t="inlineStr">
        <is>
          <t>KALMAR</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5903-2023</t>
        </is>
      </c>
      <c r="B265" t="inlineStr">
        <is>
          <t>avverkningsanmälan</t>
        </is>
      </c>
      <c r="C265" t="inlineStr">
        <is>
          <t>Föryngringsavverkning</t>
        </is>
      </c>
      <c r="D265" s="1" t="n">
        <v>44963</v>
      </c>
      <c r="E265" s="1" t="n">
        <v>46272</v>
      </c>
      <c r="F265" t="inlineStr">
        <is>
          <t>KALMAR LÄN</t>
        </is>
      </c>
      <c r="G265" t="inlineStr">
        <is>
          <t>KALMAR</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37300-2024</t>
        </is>
      </c>
      <c r="B266" t="inlineStr">
        <is>
          <t>avverkningsanmälan</t>
        </is>
      </c>
      <c r="C266" t="inlineStr">
        <is>
          <t>Föryngringsavverkning</t>
        </is>
      </c>
      <c r="D266" s="1" t="n">
        <v>45540</v>
      </c>
      <c r="E266" s="1" t="n">
        <v>46272</v>
      </c>
      <c r="F266" t="inlineStr">
        <is>
          <t>KALMAR LÄN</t>
        </is>
      </c>
      <c r="G266" t="inlineStr">
        <is>
          <t>KALMAR</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38781-2022</t>
        </is>
      </c>
      <c r="B267" t="inlineStr">
        <is>
          <t>avverkningsanmälan</t>
        </is>
      </c>
      <c r="C267" t="inlineStr">
        <is>
          <t>Föryngringsavverkning</t>
        </is>
      </c>
      <c r="D267" s="1" t="n">
        <v>44816</v>
      </c>
      <c r="E267" s="1" t="n">
        <v>46272</v>
      </c>
      <c r="F267" t="inlineStr">
        <is>
          <t>KALMAR LÄN</t>
        </is>
      </c>
      <c r="G267" t="inlineStr">
        <is>
          <t>KALMAR</t>
        </is>
      </c>
      <c r="I267" t="n">
        <v>6.2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4635-2026</t>
        </is>
      </c>
      <c r="B268" t="inlineStr">
        <is>
          <t>avverkningsanmälan</t>
        </is>
      </c>
      <c r="C268" t="inlineStr">
        <is>
          <t>Föryngringsavverkning</t>
        </is>
      </c>
      <c r="D268" s="1" t="n">
        <v>46048</v>
      </c>
      <c r="E268" s="1" t="n">
        <v>46272</v>
      </c>
      <c r="F268" t="inlineStr">
        <is>
          <t>KALMAR LÄN</t>
        </is>
      </c>
      <c r="G268" t="inlineStr">
        <is>
          <t>KALMAR</t>
        </is>
      </c>
      <c r="I268" t="n">
        <v>9.1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5248-2026</t>
        </is>
      </c>
      <c r="B269" t="inlineStr">
        <is>
          <t>avverkningsanmälan</t>
        </is>
      </c>
      <c r="C269" t="inlineStr">
        <is>
          <t>Föryngringsavverkning</t>
        </is>
      </c>
      <c r="D269" s="1" t="n">
        <v>46049</v>
      </c>
      <c r="E269" s="1" t="n">
        <v>46272</v>
      </c>
      <c r="F269" t="inlineStr">
        <is>
          <t>KALMAR LÄN</t>
        </is>
      </c>
      <c r="G269" t="inlineStr">
        <is>
          <t>KALMAR</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6144-2026</t>
        </is>
      </c>
      <c r="B270" t="inlineStr">
        <is>
          <t>avverkningsanmälan</t>
        </is>
      </c>
      <c r="C270" t="inlineStr">
        <is>
          <t>Föryngringsavverkning</t>
        </is>
      </c>
      <c r="D270" s="1" t="n">
        <v>46054</v>
      </c>
      <c r="E270" s="1" t="n">
        <v>46272</v>
      </c>
      <c r="F270" t="inlineStr">
        <is>
          <t>KALMAR LÄN</t>
        </is>
      </c>
      <c r="G270" t="inlineStr">
        <is>
          <t>KALMAR</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6142-2026</t>
        </is>
      </c>
      <c r="B271" t="inlineStr">
        <is>
          <t>avverkningsanmälan</t>
        </is>
      </c>
      <c r="C271" t="inlineStr">
        <is>
          <t>Föryngringsavverkning</t>
        </is>
      </c>
      <c r="D271" s="1" t="n">
        <v>46054</v>
      </c>
      <c r="E271" s="1" t="n">
        <v>46272</v>
      </c>
      <c r="F271" t="inlineStr">
        <is>
          <t>KALMAR LÄN</t>
        </is>
      </c>
      <c r="G271" t="inlineStr">
        <is>
          <t>KALMAR</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8122-2025</t>
        </is>
      </c>
      <c r="B272" t="inlineStr">
        <is>
          <t>avverkningsanmälan</t>
        </is>
      </c>
      <c r="C272" t="inlineStr">
        <is>
          <t>Föryngringsavverkning</t>
        </is>
      </c>
      <c r="D272" s="1" t="n">
        <v>45707</v>
      </c>
      <c r="E272" s="1" t="n">
        <v>46272</v>
      </c>
      <c r="F272" t="inlineStr">
        <is>
          <t>KALMAR LÄN</t>
        </is>
      </c>
      <c r="G272" t="inlineStr">
        <is>
          <t>KALMAR</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60754-2022</t>
        </is>
      </c>
      <c r="B273" t="inlineStr">
        <is>
          <t>avverkningsanmälan</t>
        </is>
      </c>
      <c r="C273" t="inlineStr">
        <is>
          <t>Föryngringsavverkning</t>
        </is>
      </c>
      <c r="D273" s="1" t="n">
        <v>44914</v>
      </c>
      <c r="E273" s="1" t="n">
        <v>46272</v>
      </c>
      <c r="F273" t="inlineStr">
        <is>
          <t>KALMAR LÄN</t>
        </is>
      </c>
      <c r="G273" t="inlineStr">
        <is>
          <t>KALMAR</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38071-2024</t>
        </is>
      </c>
      <c r="B274" t="inlineStr">
        <is>
          <t>avverkningsanmälan</t>
        </is>
      </c>
      <c r="C274" t="inlineStr">
        <is>
          <t>Avverkning för annat ändamål</t>
        </is>
      </c>
      <c r="D274" s="1" t="n">
        <v>45544</v>
      </c>
      <c r="E274" s="1" t="n">
        <v>46272</v>
      </c>
      <c r="F274" t="inlineStr">
        <is>
          <t>KALMAR LÄN</t>
        </is>
      </c>
      <c r="G274" t="inlineStr">
        <is>
          <t>KALMAR</t>
        </is>
      </c>
      <c r="H274" t="inlineStr">
        <is>
          <t>Kommuner</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41068-2023</t>
        </is>
      </c>
      <c r="B275" t="inlineStr">
        <is>
          <t>avverkningsanmälan</t>
        </is>
      </c>
      <c r="C275" t="inlineStr">
        <is>
          <t>Föryngringsavverkning</t>
        </is>
      </c>
      <c r="D275" s="1" t="n">
        <v>45173</v>
      </c>
      <c r="E275" s="1" t="n">
        <v>46272</v>
      </c>
      <c r="F275" t="inlineStr">
        <is>
          <t>KALMAR LÄN</t>
        </is>
      </c>
      <c r="G275" t="inlineStr">
        <is>
          <t>KALMAR</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28987-2023</t>
        </is>
      </c>
      <c r="B276" t="inlineStr">
        <is>
          <t>avverkningsanmälan</t>
        </is>
      </c>
      <c r="C276" t="inlineStr">
        <is>
          <t>Föryngringsavverkning</t>
        </is>
      </c>
      <c r="D276" s="1" t="n">
        <v>45104</v>
      </c>
      <c r="E276" s="1" t="n">
        <v>46272</v>
      </c>
      <c r="F276" t="inlineStr">
        <is>
          <t>KALMAR LÄN</t>
        </is>
      </c>
      <c r="G276" t="inlineStr">
        <is>
          <t>KALMAR</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31045-2023</t>
        </is>
      </c>
      <c r="B277" t="inlineStr">
        <is>
          <t>avverkningsanmälan</t>
        </is>
      </c>
      <c r="C277" t="inlineStr">
        <is>
          <t>Avverkning för annat ändamål</t>
        </is>
      </c>
      <c r="D277" s="1" t="n">
        <v>45113</v>
      </c>
      <c r="E277" s="1" t="n">
        <v>46272</v>
      </c>
      <c r="F277" t="inlineStr">
        <is>
          <t>KALMAR LÄN</t>
        </is>
      </c>
      <c r="G277" t="inlineStr">
        <is>
          <t>KALMAR</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26094-2023</t>
        </is>
      </c>
      <c r="B278" t="inlineStr">
        <is>
          <t>avverkningsanmälan</t>
        </is>
      </c>
      <c r="C278" t="inlineStr">
        <is>
          <t>Föryngringsavverkning</t>
        </is>
      </c>
      <c r="D278" s="1" t="n">
        <v>45091</v>
      </c>
      <c r="E278" s="1" t="n">
        <v>46272</v>
      </c>
      <c r="F278" t="inlineStr">
        <is>
          <t>KALMAR LÄN</t>
        </is>
      </c>
      <c r="G278" t="inlineStr">
        <is>
          <t>KALMAR</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39748-2023</t>
        </is>
      </c>
      <c r="B279" t="inlineStr">
        <is>
          <t>avverkningsanmälan</t>
        </is>
      </c>
      <c r="C279" t="inlineStr">
        <is>
          <t>Föryngringsavverkning</t>
        </is>
      </c>
      <c r="D279" s="1" t="n">
        <v>45167</v>
      </c>
      <c r="E279" s="1" t="n">
        <v>46272</v>
      </c>
      <c r="F279" t="inlineStr">
        <is>
          <t>KALMAR LÄN</t>
        </is>
      </c>
      <c r="G279" t="inlineStr">
        <is>
          <t>KALMAR</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54480-2023</t>
        </is>
      </c>
      <c r="B280" t="inlineStr">
        <is>
          <t>avverkningsanmälan</t>
        </is>
      </c>
      <c r="C280" t="inlineStr">
        <is>
          <t>Föryngringsavverkning</t>
        </is>
      </c>
      <c r="D280" s="1" t="n">
        <v>45233</v>
      </c>
      <c r="E280" s="1" t="n">
        <v>46272</v>
      </c>
      <c r="F280" t="inlineStr">
        <is>
          <t>KALMAR LÄN</t>
        </is>
      </c>
      <c r="G280" t="inlineStr">
        <is>
          <t>KALMAR</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58971-2023</t>
        </is>
      </c>
      <c r="B281" t="inlineStr">
        <is>
          <t>avverkningsanmälan</t>
        </is>
      </c>
      <c r="C281" t="inlineStr">
        <is>
          <t>Föryngringsavverkning</t>
        </is>
      </c>
      <c r="D281" s="1" t="n">
        <v>45252</v>
      </c>
      <c r="E281" s="1" t="n">
        <v>46272</v>
      </c>
      <c r="F281" t="inlineStr">
        <is>
          <t>KALMAR LÄN</t>
        </is>
      </c>
      <c r="G281" t="inlineStr">
        <is>
          <t>KALMAR</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37973-2024</t>
        </is>
      </c>
      <c r="B282" t="inlineStr">
        <is>
          <t>avverkningsanmälan</t>
        </is>
      </c>
      <c r="C282" t="inlineStr">
        <is>
          <t>Föryngringsavverkning</t>
        </is>
      </c>
      <c r="D282" s="1" t="n">
        <v>45544</v>
      </c>
      <c r="E282" s="1" t="n">
        <v>46272</v>
      </c>
      <c r="F282" t="inlineStr">
        <is>
          <t>KALMAR LÄN</t>
        </is>
      </c>
      <c r="G282" t="inlineStr">
        <is>
          <t>KALMAR</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68423-2021</t>
        </is>
      </c>
      <c r="B283" t="inlineStr">
        <is>
          <t>avverkningsanmälan</t>
        </is>
      </c>
      <c r="C283" t="inlineStr">
        <is>
          <t>Föryngringsavverkning</t>
        </is>
      </c>
      <c r="D283" s="1" t="n">
        <v>44529</v>
      </c>
      <c r="E283" s="1" t="n">
        <v>46272</v>
      </c>
      <c r="F283" t="inlineStr">
        <is>
          <t>KALMAR LÄN</t>
        </is>
      </c>
      <c r="G283" t="inlineStr">
        <is>
          <t>KALMAR</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22825-2025</t>
        </is>
      </c>
      <c r="B284" t="inlineStr">
        <is>
          <t>avverkningsanmälan</t>
        </is>
      </c>
      <c r="C284" t="inlineStr">
        <is>
          <t>Föryngringsavverkning</t>
        </is>
      </c>
      <c r="D284" s="1" t="n">
        <v>45789</v>
      </c>
      <c r="E284" s="1" t="n">
        <v>46272</v>
      </c>
      <c r="F284" t="inlineStr">
        <is>
          <t>KALMAR LÄN</t>
        </is>
      </c>
      <c r="G284" t="inlineStr">
        <is>
          <t>KALMAR</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30504-2024</t>
        </is>
      </c>
      <c r="B285" t="inlineStr">
        <is>
          <t>avverkningsanmälan</t>
        </is>
      </c>
      <c r="C285" t="inlineStr">
        <is>
          <t>Föryngringsavverkning</t>
        </is>
      </c>
      <c r="D285" s="1" t="n">
        <v>45492</v>
      </c>
      <c r="E285" s="1" t="n">
        <v>46272</v>
      </c>
      <c r="F285" t="inlineStr">
        <is>
          <t>KALMAR LÄN</t>
        </is>
      </c>
      <c r="G285" t="inlineStr">
        <is>
          <t>KALMAR</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16119-2024</t>
        </is>
      </c>
      <c r="B286" t="inlineStr">
        <is>
          <t>avverkningsanmälan</t>
        </is>
      </c>
      <c r="C286" t="inlineStr">
        <is>
          <t>Föryngringsavverkning</t>
        </is>
      </c>
      <c r="D286" s="1" t="n">
        <v>45406</v>
      </c>
      <c r="E286" s="1" t="n">
        <v>46272</v>
      </c>
      <c r="F286" t="inlineStr">
        <is>
          <t>KALMAR LÄN</t>
        </is>
      </c>
      <c r="G286" t="inlineStr">
        <is>
          <t>KALMAR</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51979-2022</t>
        </is>
      </c>
      <c r="B287" t="inlineStr">
        <is>
          <t>avverkningsanmälan</t>
        </is>
      </c>
      <c r="C287" t="inlineStr">
        <is>
          <t>Föryngringsavverkning</t>
        </is>
      </c>
      <c r="D287" s="1" t="n">
        <v>44872</v>
      </c>
      <c r="E287" s="1" t="n">
        <v>46272</v>
      </c>
      <c r="F287" t="inlineStr">
        <is>
          <t>KALMAR LÄN</t>
        </is>
      </c>
      <c r="G287" t="inlineStr">
        <is>
          <t>KALMAR</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42369-2024</t>
        </is>
      </c>
      <c r="B288" t="inlineStr">
        <is>
          <t>avverkningsanmälan</t>
        </is>
      </c>
      <c r="C288" t="inlineStr">
        <is>
          <t>Föryngringsavverkning</t>
        </is>
      </c>
      <c r="D288" s="1" t="n">
        <v>45564</v>
      </c>
      <c r="E288" s="1" t="n">
        <v>46272</v>
      </c>
      <c r="F288" t="inlineStr">
        <is>
          <t>KALMAR LÄN</t>
        </is>
      </c>
      <c r="G288" t="inlineStr">
        <is>
          <t>KALMAR</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62281-2023</t>
        </is>
      </c>
      <c r="B289" t="inlineStr">
        <is>
          <t>avverkningsanmälan</t>
        </is>
      </c>
      <c r="C289" t="inlineStr">
        <is>
          <t>Föryngringsavverkning</t>
        </is>
      </c>
      <c r="D289" s="1" t="n">
        <v>45267</v>
      </c>
      <c r="E289" s="1" t="n">
        <v>46272</v>
      </c>
      <c r="F289" t="inlineStr">
        <is>
          <t>KALMAR LÄN</t>
        </is>
      </c>
      <c r="G289" t="inlineStr">
        <is>
          <t>KALMAR</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61925-2021</t>
        </is>
      </c>
      <c r="B290" t="inlineStr">
        <is>
          <t>avverkningsanmälan</t>
        </is>
      </c>
      <c r="C290" t="inlineStr">
        <is>
          <t>Föryngringsavverkning</t>
        </is>
      </c>
      <c r="D290" s="1" t="n">
        <v>44502</v>
      </c>
      <c r="E290" s="1" t="n">
        <v>46272</v>
      </c>
      <c r="F290" t="inlineStr">
        <is>
          <t>KALMAR LÄN</t>
        </is>
      </c>
      <c r="G290" t="inlineStr">
        <is>
          <t>KALMAR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7939-2026</t>
        </is>
      </c>
      <c r="B291" t="inlineStr">
        <is>
          <t>avverkningsanmälan</t>
        </is>
      </c>
      <c r="C291" t="inlineStr">
        <is>
          <t>Föryngringsavverkning</t>
        </is>
      </c>
      <c r="D291" s="1" t="n">
        <v>46063</v>
      </c>
      <c r="E291" s="1" t="n">
        <v>46272</v>
      </c>
      <c r="F291" t="inlineStr">
        <is>
          <t>KALMAR LÄN</t>
        </is>
      </c>
      <c r="G291" t="inlineStr">
        <is>
          <t>KALMAR</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7711-2026</t>
        </is>
      </c>
      <c r="B292" t="inlineStr">
        <is>
          <t>avverkningsanmälan</t>
        </is>
      </c>
      <c r="C292" t="inlineStr">
        <is>
          <t>Föryngringsavverkning</t>
        </is>
      </c>
      <c r="D292" s="1" t="n">
        <v>46062</v>
      </c>
      <c r="E292" s="1" t="n">
        <v>46272</v>
      </c>
      <c r="F292" t="inlineStr">
        <is>
          <t>KALMAR LÄN</t>
        </is>
      </c>
      <c r="G292" t="inlineStr">
        <is>
          <t>KALMAR</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28974-2023</t>
        </is>
      </c>
      <c r="B293" t="inlineStr">
        <is>
          <t>avverkningsanmälan</t>
        </is>
      </c>
      <c r="C293" t="inlineStr">
        <is>
          <t>Föryngringsavverkning</t>
        </is>
      </c>
      <c r="D293" s="1" t="n">
        <v>45104</v>
      </c>
      <c r="E293" s="1" t="n">
        <v>46272</v>
      </c>
      <c r="F293" t="inlineStr">
        <is>
          <t>KALMAR LÄN</t>
        </is>
      </c>
      <c r="G293" t="inlineStr">
        <is>
          <t>KALMAR</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8117-2026</t>
        </is>
      </c>
      <c r="B294" t="inlineStr">
        <is>
          <t>avverkningsanmälan</t>
        </is>
      </c>
      <c r="C294" t="inlineStr">
        <is>
          <t>Föryngringsavverkning</t>
        </is>
      </c>
      <c r="D294" s="1" t="n">
        <v>46063</v>
      </c>
      <c r="E294" s="1" t="n">
        <v>46272</v>
      </c>
      <c r="F294" t="inlineStr">
        <is>
          <t>KALMAR LÄN</t>
        </is>
      </c>
      <c r="G294" t="inlineStr">
        <is>
          <t>KALMAR</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46778-2023</t>
        </is>
      </c>
      <c r="B295" t="inlineStr">
        <is>
          <t>avverkningsanmälan</t>
        </is>
      </c>
      <c r="C295" t="inlineStr">
        <is>
          <t>Föryngringsavverkning</t>
        </is>
      </c>
      <c r="D295" s="1" t="n">
        <v>45198</v>
      </c>
      <c r="E295" s="1" t="n">
        <v>46272</v>
      </c>
      <c r="F295" t="inlineStr">
        <is>
          <t>KALMAR LÄN</t>
        </is>
      </c>
      <c r="G295" t="inlineStr">
        <is>
          <t>KALMAR</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8121-2026</t>
        </is>
      </c>
      <c r="B296" t="inlineStr">
        <is>
          <t>avverkningsanmälan</t>
        </is>
      </c>
      <c r="C296" t="inlineStr">
        <is>
          <t>Föryngringsavverkning</t>
        </is>
      </c>
      <c r="D296" s="1" t="n">
        <v>46063</v>
      </c>
      <c r="E296" s="1" t="n">
        <v>46272</v>
      </c>
      <c r="F296" t="inlineStr">
        <is>
          <t>KALMAR LÄN</t>
        </is>
      </c>
      <c r="G296" t="inlineStr">
        <is>
          <t>KALMAR</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47399-2025</t>
        </is>
      </c>
      <c r="B297" t="inlineStr">
        <is>
          <t>avverkningsanmälan</t>
        </is>
      </c>
      <c r="C297" t="inlineStr">
        <is>
          <t>Föryngringsavverkning</t>
        </is>
      </c>
      <c r="D297" s="1" t="n">
        <v>45930</v>
      </c>
      <c r="E297" s="1" t="n">
        <v>46272</v>
      </c>
      <c r="F297" t="inlineStr">
        <is>
          <t>KALMAR LÄN</t>
        </is>
      </c>
      <c r="G297" t="inlineStr">
        <is>
          <t>KALMAR</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56510-2023</t>
        </is>
      </c>
      <c r="B298" t="inlineStr">
        <is>
          <t>avverkningsanmälan</t>
        </is>
      </c>
      <c r="C298" t="inlineStr">
        <is>
          <t>Föryngringsavverkning</t>
        </is>
      </c>
      <c r="D298" s="1" t="n">
        <v>45243</v>
      </c>
      <c r="E298" s="1" t="n">
        <v>46272</v>
      </c>
      <c r="F298" t="inlineStr">
        <is>
          <t>KALMAR LÄN</t>
        </is>
      </c>
      <c r="G298" t="inlineStr">
        <is>
          <t>KALMAR</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56994-2025</t>
        </is>
      </c>
      <c r="B299" t="inlineStr">
        <is>
          <t>avverkningsanmälan</t>
        </is>
      </c>
      <c r="C299" t="inlineStr">
        <is>
          <t>Föryngringsavverkning</t>
        </is>
      </c>
      <c r="D299" s="1" t="n">
        <v>45978</v>
      </c>
      <c r="E299" s="1" t="n">
        <v>46272</v>
      </c>
      <c r="F299" t="inlineStr">
        <is>
          <t>KALMAR LÄN</t>
        </is>
      </c>
      <c r="G299" t="inlineStr">
        <is>
          <t>KALMAR</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45868-2022</t>
        </is>
      </c>
      <c r="B300" t="inlineStr">
        <is>
          <t>avverkningsanmälan</t>
        </is>
      </c>
      <c r="C300" t="inlineStr">
        <is>
          <t>Föryngringsavverkning</t>
        </is>
      </c>
      <c r="D300" s="1" t="n">
        <v>44846</v>
      </c>
      <c r="E300" s="1" t="n">
        <v>46272</v>
      </c>
      <c r="F300" t="inlineStr">
        <is>
          <t>KALMAR LÄN</t>
        </is>
      </c>
      <c r="G300" t="inlineStr">
        <is>
          <t>KALMAR</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9370-2026</t>
        </is>
      </c>
      <c r="B301" t="inlineStr">
        <is>
          <t>avverkningsanmälan</t>
        </is>
      </c>
      <c r="C301" t="inlineStr">
        <is>
          <t>Föryngringsavverkning</t>
        </is>
      </c>
      <c r="D301" s="1" t="n">
        <v>46070</v>
      </c>
      <c r="E301" s="1" t="n">
        <v>46272</v>
      </c>
      <c r="F301" t="inlineStr">
        <is>
          <t>KALMAR LÄN</t>
        </is>
      </c>
      <c r="G301" t="inlineStr">
        <is>
          <t>KALMAR</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9179-2026</t>
        </is>
      </c>
      <c r="B302" t="inlineStr">
        <is>
          <t>avverkningsanmälan</t>
        </is>
      </c>
      <c r="C302" t="inlineStr">
        <is>
          <t>Föryngringsavverkning</t>
        </is>
      </c>
      <c r="D302" s="1" t="n">
        <v>46070</v>
      </c>
      <c r="E302" s="1" t="n">
        <v>46272</v>
      </c>
      <c r="F302" t="inlineStr">
        <is>
          <t>KALMAR LÄN</t>
        </is>
      </c>
      <c r="G302" t="inlineStr">
        <is>
          <t>KALMAR</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9210-2026</t>
        </is>
      </c>
      <c r="B303" t="inlineStr">
        <is>
          <t>avverkningsanmälan</t>
        </is>
      </c>
      <c r="C303" t="inlineStr">
        <is>
          <t>Föryngringsavverkning</t>
        </is>
      </c>
      <c r="D303" s="1" t="n">
        <v>46070</v>
      </c>
      <c r="E303" s="1" t="n">
        <v>46272</v>
      </c>
      <c r="F303" t="inlineStr">
        <is>
          <t>KALMAR LÄN</t>
        </is>
      </c>
      <c r="G303" t="inlineStr">
        <is>
          <t>KALMAR</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39093-2024</t>
        </is>
      </c>
      <c r="B304" t="inlineStr">
        <is>
          <t>avverkningsanmälan</t>
        </is>
      </c>
      <c r="C304" t="inlineStr">
        <is>
          <t>Föryngringsavverkning</t>
        </is>
      </c>
      <c r="D304" s="1" t="n">
        <v>45548</v>
      </c>
      <c r="E304" s="1" t="n">
        <v>46272</v>
      </c>
      <c r="F304" t="inlineStr">
        <is>
          <t>KALMAR LÄN</t>
        </is>
      </c>
      <c r="G304" t="inlineStr">
        <is>
          <t>KALMAR</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22303-2023</t>
        </is>
      </c>
      <c r="B305" t="inlineStr">
        <is>
          <t>avverkningsanmälan</t>
        </is>
      </c>
      <c r="C305" t="inlineStr">
        <is>
          <t>Avverkning för annat ändamål</t>
        </is>
      </c>
      <c r="D305" s="1" t="n">
        <v>45070</v>
      </c>
      <c r="E305" s="1" t="n">
        <v>46272</v>
      </c>
      <c r="F305" t="inlineStr">
        <is>
          <t>KALMAR LÄN</t>
        </is>
      </c>
      <c r="G305" t="inlineStr">
        <is>
          <t>KALMAR</t>
        </is>
      </c>
      <c r="H305" t="inlineStr">
        <is>
          <t>Sveaskog</t>
        </is>
      </c>
      <c r="I305" t="n">
        <v>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59957-2022</t>
        </is>
      </c>
      <c r="B306" t="inlineStr">
        <is>
          <t>avverkningsanmälan</t>
        </is>
      </c>
      <c r="C306" t="inlineStr">
        <is>
          <t>Föryngringsavverkning</t>
        </is>
      </c>
      <c r="D306" s="1" t="n">
        <v>44909</v>
      </c>
      <c r="E306" s="1" t="n">
        <v>46272</v>
      </c>
      <c r="F306" t="inlineStr">
        <is>
          <t>KALMAR LÄN</t>
        </is>
      </c>
      <c r="G306" t="inlineStr">
        <is>
          <t>KALMAR</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50055-2023</t>
        </is>
      </c>
      <c r="B307" t="inlineStr">
        <is>
          <t>avverkningsanmälan</t>
        </is>
      </c>
      <c r="C307" t="inlineStr">
        <is>
          <t>Föryngringsavverkning</t>
        </is>
      </c>
      <c r="D307" s="1" t="n">
        <v>45215</v>
      </c>
      <c r="E307" s="1" t="n">
        <v>46272</v>
      </c>
      <c r="F307" t="inlineStr">
        <is>
          <t>KALMAR LÄN</t>
        </is>
      </c>
      <c r="G307" t="inlineStr">
        <is>
          <t>KALMAR</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57630-2023</t>
        </is>
      </c>
      <c r="B308" t="inlineStr">
        <is>
          <t>avverkningsanmälan</t>
        </is>
      </c>
      <c r="C308" t="inlineStr">
        <is>
          <t>Föryngringsavverkning</t>
        </is>
      </c>
      <c r="D308" s="1" t="n">
        <v>45246</v>
      </c>
      <c r="E308" s="1" t="n">
        <v>46272</v>
      </c>
      <c r="F308" t="inlineStr">
        <is>
          <t>KALMAR LÄN</t>
        </is>
      </c>
      <c r="G308" t="inlineStr">
        <is>
          <t>KALMAR</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34855-2022</t>
        </is>
      </c>
      <c r="B309" t="inlineStr">
        <is>
          <t>avverkningsanmälan</t>
        </is>
      </c>
      <c r="C309" t="inlineStr">
        <is>
          <t>Föryngringsavverkning</t>
        </is>
      </c>
      <c r="D309" s="1" t="n">
        <v>44796</v>
      </c>
      <c r="E309" s="1" t="n">
        <v>46272</v>
      </c>
      <c r="F309" t="inlineStr">
        <is>
          <t>KALMAR LÄN</t>
        </is>
      </c>
      <c r="G309" t="inlineStr">
        <is>
          <t>KALMAR</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62457-2023</t>
        </is>
      </c>
      <c r="B310" t="inlineStr">
        <is>
          <t>avverkningsanmälan</t>
        </is>
      </c>
      <c r="C310" t="inlineStr">
        <is>
          <t>Föryngringsavverkning</t>
        </is>
      </c>
      <c r="D310" s="1" t="n">
        <v>45268</v>
      </c>
      <c r="E310" s="1" t="n">
        <v>46272</v>
      </c>
      <c r="F310" t="inlineStr">
        <is>
          <t>KALMAR LÄN</t>
        </is>
      </c>
      <c r="G310" t="inlineStr">
        <is>
          <t>KALMAR</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53389-2023</t>
        </is>
      </c>
      <c r="B311" t="inlineStr">
        <is>
          <t>avverkningsanmälan</t>
        </is>
      </c>
      <c r="C311" t="inlineStr">
        <is>
          <t>Föryngringsavverkning</t>
        </is>
      </c>
      <c r="D311" s="1" t="n">
        <v>45229</v>
      </c>
      <c r="E311" s="1" t="n">
        <v>46272</v>
      </c>
      <c r="F311" t="inlineStr">
        <is>
          <t>KALMAR LÄN</t>
        </is>
      </c>
      <c r="G311" t="inlineStr">
        <is>
          <t>KALMAR</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49415-2024</t>
        </is>
      </c>
      <c r="B312" t="inlineStr">
        <is>
          <t>avverkningsanmälan</t>
        </is>
      </c>
      <c r="C312" t="inlineStr">
        <is>
          <t>Föryngringsavverkning</t>
        </is>
      </c>
      <c r="D312" s="1" t="n">
        <v>45595</v>
      </c>
      <c r="E312" s="1" t="n">
        <v>46272</v>
      </c>
      <c r="F312" t="inlineStr">
        <is>
          <t>KALMAR LÄN</t>
        </is>
      </c>
      <c r="G312" t="inlineStr">
        <is>
          <t>KALMAR</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56905-2024</t>
        </is>
      </c>
      <c r="B313" t="inlineStr">
        <is>
          <t>avverkningsanmälan</t>
        </is>
      </c>
      <c r="C313" t="inlineStr">
        <is>
          <t>Föryngringsavverkning</t>
        </is>
      </c>
      <c r="D313" s="1" t="n">
        <v>45628</v>
      </c>
      <c r="E313" s="1" t="n">
        <v>46272</v>
      </c>
      <c r="F313" t="inlineStr">
        <is>
          <t>KALMAR LÄN</t>
        </is>
      </c>
      <c r="G313" t="inlineStr">
        <is>
          <t>KALMAR</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58800-2023</t>
        </is>
      </c>
      <c r="B314" t="inlineStr">
        <is>
          <t>avverkningsanmälan</t>
        </is>
      </c>
      <c r="C314" t="inlineStr">
        <is>
          <t>Föryngringsavverkning</t>
        </is>
      </c>
      <c r="D314" s="1" t="n">
        <v>45252</v>
      </c>
      <c r="E314" s="1" t="n">
        <v>46272</v>
      </c>
      <c r="F314" t="inlineStr">
        <is>
          <t>KALMAR LÄN</t>
        </is>
      </c>
      <c r="G314" t="inlineStr">
        <is>
          <t>KALMAR</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54468-2023</t>
        </is>
      </c>
      <c r="B315" t="inlineStr">
        <is>
          <t>avverkningsanmälan</t>
        </is>
      </c>
      <c r="C315" t="inlineStr">
        <is>
          <t>Föryngringsavverkning</t>
        </is>
      </c>
      <c r="D315" s="1" t="n">
        <v>45233</v>
      </c>
      <c r="E315" s="1" t="n">
        <v>46272</v>
      </c>
      <c r="F315" t="inlineStr">
        <is>
          <t>KALMAR LÄN</t>
        </is>
      </c>
      <c r="G315" t="inlineStr">
        <is>
          <t>KALMAR</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524-2022</t>
        </is>
      </c>
      <c r="B316" t="inlineStr">
        <is>
          <t>avverkningsanmälan</t>
        </is>
      </c>
      <c r="C316" t="inlineStr">
        <is>
          <t>Föryngringsavverkning</t>
        </is>
      </c>
      <c r="D316" s="1" t="n">
        <v>44566</v>
      </c>
      <c r="E316" s="1" t="n">
        <v>46272</v>
      </c>
      <c r="F316" t="inlineStr">
        <is>
          <t>KALMAR LÄN</t>
        </is>
      </c>
      <c r="G316" t="inlineStr">
        <is>
          <t>KALMAR</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17701-2024</t>
        </is>
      </c>
      <c r="B317" t="inlineStr">
        <is>
          <t>avverkningsanmälan</t>
        </is>
      </c>
      <c r="C317" t="inlineStr">
        <is>
          <t>Föryngringsavverkning</t>
        </is>
      </c>
      <c r="D317" s="1" t="n">
        <v>45418</v>
      </c>
      <c r="E317" s="1" t="n">
        <v>46272</v>
      </c>
      <c r="F317" t="inlineStr">
        <is>
          <t>KALMAR LÄN</t>
        </is>
      </c>
      <c r="G317" t="inlineStr">
        <is>
          <t>KALMAR</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9649-2025</t>
        </is>
      </c>
      <c r="B318" t="inlineStr">
        <is>
          <t>avverkningsanmälan</t>
        </is>
      </c>
      <c r="C318" t="inlineStr">
        <is>
          <t>Föryngringsavverkning</t>
        </is>
      </c>
      <c r="D318" s="1" t="n">
        <v>45716</v>
      </c>
      <c r="E318" s="1" t="n">
        <v>46272</v>
      </c>
      <c r="F318" t="inlineStr">
        <is>
          <t>KALMAR LÄN</t>
        </is>
      </c>
      <c r="G318" t="inlineStr">
        <is>
          <t>KALMAR</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7324-2024</t>
        </is>
      </c>
      <c r="B319" t="inlineStr">
        <is>
          <t>avverkningsanmälan</t>
        </is>
      </c>
      <c r="C319" t="inlineStr">
        <is>
          <t>Föryngringsavverkning</t>
        </is>
      </c>
      <c r="D319" s="1" t="n">
        <v>45345</v>
      </c>
      <c r="E319" s="1" t="n">
        <v>46272</v>
      </c>
      <c r="F319" t="inlineStr">
        <is>
          <t>KALMAR LÄN</t>
        </is>
      </c>
      <c r="G319" t="inlineStr">
        <is>
          <t>KALMAR</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16326-2023</t>
        </is>
      </c>
      <c r="B320" t="inlineStr">
        <is>
          <t>avverkningsanmälan</t>
        </is>
      </c>
      <c r="C320" t="inlineStr">
        <is>
          <t>Föryngringsavverkning</t>
        </is>
      </c>
      <c r="D320" s="1" t="n">
        <v>45028</v>
      </c>
      <c r="E320" s="1" t="n">
        <v>46272</v>
      </c>
      <c r="F320" t="inlineStr">
        <is>
          <t>KALMAR LÄN</t>
        </is>
      </c>
      <c r="G320" t="inlineStr">
        <is>
          <t>KALMAR</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8845-2025</t>
        </is>
      </c>
      <c r="B321" t="inlineStr">
        <is>
          <t>avverkningsanmälan</t>
        </is>
      </c>
      <c r="C321" t="inlineStr">
        <is>
          <t>Föryngringsavverkning</t>
        </is>
      </c>
      <c r="D321" s="1" t="n">
        <v>45713</v>
      </c>
      <c r="E321" s="1" t="n">
        <v>46272</v>
      </c>
      <c r="F321" t="inlineStr">
        <is>
          <t>KALMAR LÄN</t>
        </is>
      </c>
      <c r="G321" t="inlineStr">
        <is>
          <t>KALMAR</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62731-2025</t>
        </is>
      </c>
      <c r="B322" t="inlineStr">
        <is>
          <t>avverkningsanmälan</t>
        </is>
      </c>
      <c r="C322" t="inlineStr">
        <is>
          <t>Föryngringsavverkning</t>
        </is>
      </c>
      <c r="D322" s="1" t="n">
        <v>46008</v>
      </c>
      <c r="E322" s="1" t="n">
        <v>46272</v>
      </c>
      <c r="F322" t="inlineStr">
        <is>
          <t>KALMAR LÄN</t>
        </is>
      </c>
      <c r="G322" t="inlineStr">
        <is>
          <t>KALMAR</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62732-2025</t>
        </is>
      </c>
      <c r="B323" t="inlineStr">
        <is>
          <t>avverkningsanmälan</t>
        </is>
      </c>
      <c r="C323" t="inlineStr">
        <is>
          <t>Föryngringsavverkning</t>
        </is>
      </c>
      <c r="D323" s="1" t="n">
        <v>46008</v>
      </c>
      <c r="E323" s="1" t="n">
        <v>46272</v>
      </c>
      <c r="F323" t="inlineStr">
        <is>
          <t>KALMAR LÄN</t>
        </is>
      </c>
      <c r="G323" t="inlineStr">
        <is>
          <t>KALMAR</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63313-2025</t>
        </is>
      </c>
      <c r="B324" t="inlineStr">
        <is>
          <t>avverkningsanmälan</t>
        </is>
      </c>
      <c r="C324" t="inlineStr">
        <is>
          <t>Föryngringsavverkning</t>
        </is>
      </c>
      <c r="D324" s="1" t="n">
        <v>46010</v>
      </c>
      <c r="E324" s="1" t="n">
        <v>46272</v>
      </c>
      <c r="F324" t="inlineStr">
        <is>
          <t>KALMAR LÄN</t>
        </is>
      </c>
      <c r="G324" t="inlineStr">
        <is>
          <t>KALMAR</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63498-2025</t>
        </is>
      </c>
      <c r="B325" t="inlineStr">
        <is>
          <t>avverkningsanmälan</t>
        </is>
      </c>
      <c r="C325" t="inlineStr">
        <is>
          <t>Föryngringsavverkning</t>
        </is>
      </c>
      <c r="D325" s="1" t="n">
        <v>46013</v>
      </c>
      <c r="E325" s="1" t="n">
        <v>46272</v>
      </c>
      <c r="F325" t="inlineStr">
        <is>
          <t>KALMAR LÄN</t>
        </is>
      </c>
      <c r="G325" t="inlineStr">
        <is>
          <t>KALMAR</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60871-2021</t>
        </is>
      </c>
      <c r="B326" t="inlineStr">
        <is>
          <t>avverkningsanmälan</t>
        </is>
      </c>
      <c r="C326" t="inlineStr">
        <is>
          <t>Föryngringsavverkning</t>
        </is>
      </c>
      <c r="D326" s="1" t="n">
        <v>44497</v>
      </c>
      <c r="E326" s="1" t="n">
        <v>46272</v>
      </c>
      <c r="F326" t="inlineStr">
        <is>
          <t>KALMAR LÄN</t>
        </is>
      </c>
      <c r="G326" t="inlineStr">
        <is>
          <t>KALMAR</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54748-2024</t>
        </is>
      </c>
      <c r="B327" t="inlineStr">
        <is>
          <t>avverkningsanmälan</t>
        </is>
      </c>
      <c r="C327" t="inlineStr">
        <is>
          <t>Avverkning för att bevara och utveckla /försöksver</t>
        </is>
      </c>
      <c r="D327" s="1" t="n">
        <v>45618</v>
      </c>
      <c r="E327" s="1" t="n">
        <v>46272</v>
      </c>
      <c r="F327" t="inlineStr">
        <is>
          <t>KALMAR LÄN</t>
        </is>
      </c>
      <c r="G327" t="inlineStr">
        <is>
          <t>KALMAR</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6043-2025</t>
        </is>
      </c>
      <c r="B328" t="inlineStr">
        <is>
          <t>avverkningsanmälan</t>
        </is>
      </c>
      <c r="C328" t="inlineStr">
        <is>
          <t>Föryngringsavverkning</t>
        </is>
      </c>
      <c r="D328" s="1" t="n">
        <v>45695</v>
      </c>
      <c r="E328" s="1" t="n">
        <v>46272</v>
      </c>
      <c r="F328" t="inlineStr">
        <is>
          <t>KALMAR LÄN</t>
        </is>
      </c>
      <c r="G328" t="inlineStr">
        <is>
          <t>KALMAR</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13571-2023</t>
        </is>
      </c>
      <c r="B329" t="inlineStr">
        <is>
          <t>avverkningsanmälan</t>
        </is>
      </c>
      <c r="C329" t="inlineStr">
        <is>
          <t>Föryngringsavverkning</t>
        </is>
      </c>
      <c r="D329" s="1" t="n">
        <v>45006</v>
      </c>
      <c r="E329" s="1" t="n">
        <v>46272</v>
      </c>
      <c r="F329" t="inlineStr">
        <is>
          <t>KALMAR LÄN</t>
        </is>
      </c>
      <c r="G329" t="inlineStr">
        <is>
          <t>KALMAR</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12933-2026</t>
        </is>
      </c>
      <c r="B330" t="inlineStr">
        <is>
          <t>avverkningsanmälan</t>
        </is>
      </c>
      <c r="C330" t="inlineStr">
        <is>
          <t>Föryngringsavverkning</t>
        </is>
      </c>
      <c r="D330" s="1" t="n">
        <v>46092</v>
      </c>
      <c r="E330" s="1" t="n">
        <v>46272</v>
      </c>
      <c r="F330" t="inlineStr">
        <is>
          <t>KALMAR LÄN</t>
        </is>
      </c>
      <c r="G330" t="inlineStr">
        <is>
          <t>KALMAR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12876-2026</t>
        </is>
      </c>
      <c r="B331" t="inlineStr">
        <is>
          <t>avverkningsanmälan</t>
        </is>
      </c>
      <c r="C331" t="inlineStr">
        <is>
          <t>Föryngringsavverkning</t>
        </is>
      </c>
      <c r="D331" s="1" t="n">
        <v>46092</v>
      </c>
      <c r="E331" s="1" t="n">
        <v>46272</v>
      </c>
      <c r="F331" t="inlineStr">
        <is>
          <t>KALMAR LÄN</t>
        </is>
      </c>
      <c r="G331" t="inlineStr">
        <is>
          <t>KALMAR</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53388-2023</t>
        </is>
      </c>
      <c r="B332" t="inlineStr">
        <is>
          <t>avverkningsanmälan</t>
        </is>
      </c>
      <c r="C332" t="inlineStr">
        <is>
          <t>Föryngringsavverkning</t>
        </is>
      </c>
      <c r="D332" s="1" t="n">
        <v>45229</v>
      </c>
      <c r="E332" s="1" t="n">
        <v>46272</v>
      </c>
      <c r="F332" t="inlineStr">
        <is>
          <t>KALMAR LÄN</t>
        </is>
      </c>
      <c r="G332" t="inlineStr">
        <is>
          <t>KALMAR</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13149-2026</t>
        </is>
      </c>
      <c r="B333" t="inlineStr">
        <is>
          <t>avverkningsanmälan</t>
        </is>
      </c>
      <c r="C333" t="inlineStr">
        <is>
          <t>Föryngringsavverkning</t>
        </is>
      </c>
      <c r="D333" s="1" t="n">
        <v>46093</v>
      </c>
      <c r="E333" s="1" t="n">
        <v>46272</v>
      </c>
      <c r="F333" t="inlineStr">
        <is>
          <t>KALMAR LÄN</t>
        </is>
      </c>
      <c r="G333" t="inlineStr">
        <is>
          <t>KALMAR</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7415-2023</t>
        </is>
      </c>
      <c r="B334" t="inlineStr">
        <is>
          <t>avverkningsanmälan</t>
        </is>
      </c>
      <c r="C334" t="inlineStr">
        <is>
          <t>Föryngringsavverkning</t>
        </is>
      </c>
      <c r="D334" s="1" t="n">
        <v>44971</v>
      </c>
      <c r="E334" s="1" t="n">
        <v>46272</v>
      </c>
      <c r="F334" t="inlineStr">
        <is>
          <t>KALMAR LÄN</t>
        </is>
      </c>
      <c r="G334" t="inlineStr">
        <is>
          <t>KALMAR</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26984-2023</t>
        </is>
      </c>
      <c r="B335" t="inlineStr">
        <is>
          <t>avverkningsanmälan</t>
        </is>
      </c>
      <c r="C335" t="inlineStr">
        <is>
          <t>Föryngringsavverkning</t>
        </is>
      </c>
      <c r="D335" s="1" t="n">
        <v>45093</v>
      </c>
      <c r="E335" s="1" t="n">
        <v>46272</v>
      </c>
      <c r="F335" t="inlineStr">
        <is>
          <t>KALMAR LÄN</t>
        </is>
      </c>
      <c r="G335" t="inlineStr">
        <is>
          <t>KALMAR</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36631-2023</t>
        </is>
      </c>
      <c r="B336" t="inlineStr">
        <is>
          <t>avverkningsanmälan</t>
        </is>
      </c>
      <c r="C336" t="inlineStr">
        <is>
          <t>Föryngringsavverkning</t>
        </is>
      </c>
      <c r="D336" s="1" t="n">
        <v>45153</v>
      </c>
      <c r="E336" s="1" t="n">
        <v>46272</v>
      </c>
      <c r="F336" t="inlineStr">
        <is>
          <t>KALMAR LÄN</t>
        </is>
      </c>
      <c r="G336" t="inlineStr">
        <is>
          <t>KALMAR</t>
        </is>
      </c>
      <c r="I336" t="n">
        <v>6.4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14269-2026</t>
        </is>
      </c>
      <c r="B337" t="inlineStr">
        <is>
          <t>avverkningsanmälan</t>
        </is>
      </c>
      <c r="C337" t="inlineStr">
        <is>
          <t>Föryngringsavverkning</t>
        </is>
      </c>
      <c r="D337" s="1" t="n">
        <v>46099</v>
      </c>
      <c r="E337" s="1" t="n">
        <v>46272</v>
      </c>
      <c r="F337" t="inlineStr">
        <is>
          <t>KALMAR LÄN</t>
        </is>
      </c>
      <c r="G337" t="inlineStr">
        <is>
          <t>KALMAR</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61285-2022</t>
        </is>
      </c>
      <c r="B338" t="inlineStr">
        <is>
          <t>avverkningsanmälan</t>
        </is>
      </c>
      <c r="C338" t="inlineStr">
        <is>
          <t>Föryngringsavverkning</t>
        </is>
      </c>
      <c r="D338" s="1" t="n">
        <v>44915</v>
      </c>
      <c r="E338" s="1" t="n">
        <v>46272</v>
      </c>
      <c r="F338" t="inlineStr">
        <is>
          <t>KALMAR LÄN</t>
        </is>
      </c>
      <c r="G338" t="inlineStr">
        <is>
          <t>KALMAR</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60851-2022</t>
        </is>
      </c>
      <c r="B339" t="inlineStr">
        <is>
          <t>avverkningsanmälan</t>
        </is>
      </c>
      <c r="C339" t="inlineStr">
        <is>
          <t>Föryngringsavverkning</t>
        </is>
      </c>
      <c r="D339" s="1" t="n">
        <v>44914</v>
      </c>
      <c r="E339" s="1" t="n">
        <v>46272</v>
      </c>
      <c r="F339" t="inlineStr">
        <is>
          <t>KALMAR LÄN</t>
        </is>
      </c>
      <c r="G339" t="inlineStr">
        <is>
          <t>KALMAR</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57216-2022</t>
        </is>
      </c>
      <c r="B340" t="inlineStr">
        <is>
          <t>avverkningsanmälan</t>
        </is>
      </c>
      <c r="C340" t="inlineStr">
        <is>
          <t>Föryngringsavverkning</t>
        </is>
      </c>
      <c r="D340" s="1" t="n">
        <v>44895</v>
      </c>
      <c r="E340" s="1" t="n">
        <v>46272</v>
      </c>
      <c r="F340" t="inlineStr">
        <is>
          <t>KALMAR LÄN</t>
        </is>
      </c>
      <c r="G340" t="inlineStr">
        <is>
          <t>KALMAR</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39363-2024</t>
        </is>
      </c>
      <c r="B341" t="inlineStr">
        <is>
          <t>avverkningsanmälan</t>
        </is>
      </c>
      <c r="C341" t="inlineStr">
        <is>
          <t>Föryngringsavverkning</t>
        </is>
      </c>
      <c r="D341" s="1" t="n">
        <v>45551</v>
      </c>
      <c r="E341" s="1" t="n">
        <v>46272</v>
      </c>
      <c r="F341" t="inlineStr">
        <is>
          <t>KALMAR LÄN</t>
        </is>
      </c>
      <c r="G341" t="inlineStr">
        <is>
          <t>KALMAR</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4448-2024</t>
        </is>
      </c>
      <c r="B342" t="inlineStr">
        <is>
          <t>avverkningsanmälan</t>
        </is>
      </c>
      <c r="C342" t="inlineStr">
        <is>
          <t>Föryngringsavverkning</t>
        </is>
      </c>
      <c r="D342" s="1" t="n">
        <v>45327</v>
      </c>
      <c r="E342" s="1" t="n">
        <v>46272</v>
      </c>
      <c r="F342" t="inlineStr">
        <is>
          <t>KALMAR LÄN</t>
        </is>
      </c>
      <c r="G342" t="inlineStr">
        <is>
          <t>KALMAR</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1987-2023</t>
        </is>
      </c>
      <c r="B343" t="inlineStr">
        <is>
          <t>avverkningsanmälan</t>
        </is>
      </c>
      <c r="C343" t="inlineStr">
        <is>
          <t>Föryngringsavverkning</t>
        </is>
      </c>
      <c r="D343" s="1" t="n">
        <v>44939</v>
      </c>
      <c r="E343" s="1" t="n">
        <v>46272</v>
      </c>
      <c r="F343" t="inlineStr">
        <is>
          <t>KALMAR LÄN</t>
        </is>
      </c>
      <c r="G343" t="inlineStr">
        <is>
          <t>KALMAR</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57654-2023</t>
        </is>
      </c>
      <c r="B344" t="inlineStr">
        <is>
          <t>avverkningsanmälan</t>
        </is>
      </c>
      <c r="C344" t="inlineStr">
        <is>
          <t>Föryngringsavverkning</t>
        </is>
      </c>
      <c r="D344" s="1" t="n">
        <v>45246</v>
      </c>
      <c r="E344" s="1" t="n">
        <v>46272</v>
      </c>
      <c r="F344" t="inlineStr">
        <is>
          <t>KALMAR LÄN</t>
        </is>
      </c>
      <c r="G344" t="inlineStr">
        <is>
          <t>KALMAR</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57658-2023</t>
        </is>
      </c>
      <c r="B345" t="inlineStr">
        <is>
          <t>avverkningsanmälan</t>
        </is>
      </c>
      <c r="C345" t="inlineStr">
        <is>
          <t>Föryngringsavverkning</t>
        </is>
      </c>
      <c r="D345" s="1" t="n">
        <v>45246</v>
      </c>
      <c r="E345" s="1" t="n">
        <v>46272</v>
      </c>
      <c r="F345" t="inlineStr">
        <is>
          <t>KALMAR LÄN</t>
        </is>
      </c>
      <c r="G345" t="inlineStr">
        <is>
          <t>KALMAR</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7750-2023</t>
        </is>
      </c>
      <c r="B346" t="inlineStr">
        <is>
          <t>avverkningsanmälan</t>
        </is>
      </c>
      <c r="C346" t="inlineStr">
        <is>
          <t>Föryngringsavverkning</t>
        </is>
      </c>
      <c r="D346" s="1" t="n">
        <v>44973</v>
      </c>
      <c r="E346" s="1" t="n">
        <v>46272</v>
      </c>
      <c r="F346" t="inlineStr">
        <is>
          <t>KALMAR LÄN</t>
        </is>
      </c>
      <c r="G346" t="inlineStr">
        <is>
          <t>KALMAR</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12265-2024</t>
        </is>
      </c>
      <c r="B347" t="inlineStr">
        <is>
          <t>avverkningsanmälan</t>
        </is>
      </c>
      <c r="C347" t="inlineStr">
        <is>
          <t>Föryngringsavverkning</t>
        </is>
      </c>
      <c r="D347" s="1" t="n">
        <v>45378</v>
      </c>
      <c r="E347" s="1" t="n">
        <v>46272</v>
      </c>
      <c r="F347" t="inlineStr">
        <is>
          <t>KALMAR LÄN</t>
        </is>
      </c>
      <c r="G347" t="inlineStr">
        <is>
          <t>KALMAR</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16121-2026</t>
        </is>
      </c>
      <c r="B348" t="inlineStr">
        <is>
          <t>avverkningsanmälan</t>
        </is>
      </c>
      <c r="C348" t="inlineStr">
        <is>
          <t>Föryngringsavverkning</t>
        </is>
      </c>
      <c r="D348" s="1" t="n">
        <v>46108</v>
      </c>
      <c r="E348" s="1" t="n">
        <v>46272</v>
      </c>
      <c r="F348" t="inlineStr">
        <is>
          <t>KALMAR LÄN</t>
        </is>
      </c>
      <c r="G348" t="inlineStr">
        <is>
          <t>KALMAR</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41633-2023</t>
        </is>
      </c>
      <c r="B349" t="inlineStr">
        <is>
          <t>avverkningsanmälan</t>
        </is>
      </c>
      <c r="C349" t="inlineStr">
        <is>
          <t>Föryngringsavverkning</t>
        </is>
      </c>
      <c r="D349" s="1" t="n">
        <v>45175</v>
      </c>
      <c r="E349" s="1" t="n">
        <v>46272</v>
      </c>
      <c r="F349" t="inlineStr">
        <is>
          <t>KALMAR LÄN</t>
        </is>
      </c>
      <c r="G349" t="inlineStr">
        <is>
          <t>KALMAR</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16504-2026</t>
        </is>
      </c>
      <c r="B350" t="inlineStr">
        <is>
          <t>avverkningsanmälan</t>
        </is>
      </c>
      <c r="C350" t="inlineStr">
        <is>
          <t>Föryngringsavverkning</t>
        </is>
      </c>
      <c r="D350" s="1" t="n">
        <v>46112</v>
      </c>
      <c r="E350" s="1" t="n">
        <v>46272</v>
      </c>
      <c r="F350" t="inlineStr">
        <is>
          <t>KALMAR LÄN</t>
        </is>
      </c>
      <c r="G350" t="inlineStr">
        <is>
          <t>KALMAR</t>
        </is>
      </c>
      <c r="I350" t="n">
        <v>9.199999999999999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40986-2023</t>
        </is>
      </c>
      <c r="B351" t="inlineStr">
        <is>
          <t>avverkningsanmälan</t>
        </is>
      </c>
      <c r="C351" t="inlineStr">
        <is>
          <t>Föryngringsavverkning</t>
        </is>
      </c>
      <c r="D351" s="1" t="n">
        <v>45173</v>
      </c>
      <c r="E351" s="1" t="n">
        <v>46272</v>
      </c>
      <c r="F351" t="inlineStr">
        <is>
          <t>KALMAR LÄN</t>
        </is>
      </c>
      <c r="G351" t="inlineStr">
        <is>
          <t>KALMAR</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1598-2024</t>
        </is>
      </c>
      <c r="B352" t="inlineStr">
        <is>
          <t>avverkningsanmälan</t>
        </is>
      </c>
      <c r="C352" t="inlineStr">
        <is>
          <t>Avverkning för annat ändamål</t>
        </is>
      </c>
      <c r="D352" s="1" t="n">
        <v>45306</v>
      </c>
      <c r="E352" s="1" t="n">
        <v>46272</v>
      </c>
      <c r="F352" t="inlineStr">
        <is>
          <t>KALMAR LÄN</t>
        </is>
      </c>
      <c r="G352" t="inlineStr">
        <is>
          <t>KALMAR</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26097-2023</t>
        </is>
      </c>
      <c r="B353" t="inlineStr">
        <is>
          <t>avverkningsanmälan</t>
        </is>
      </c>
      <c r="C353" t="inlineStr">
        <is>
          <t>Föryngringsavverkning</t>
        </is>
      </c>
      <c r="D353" s="1" t="n">
        <v>45091</v>
      </c>
      <c r="E353" s="1" t="n">
        <v>46272</v>
      </c>
      <c r="F353" t="inlineStr">
        <is>
          <t>KALMAR LÄN</t>
        </is>
      </c>
      <c r="G353" t="inlineStr">
        <is>
          <t>KALMAR</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17381-2026</t>
        </is>
      </c>
      <c r="B354" t="inlineStr">
        <is>
          <t>avverkningsanmälan</t>
        </is>
      </c>
      <c r="C354" t="inlineStr">
        <is>
          <t>Föryngringsavverkning</t>
        </is>
      </c>
      <c r="D354" s="1" t="n">
        <v>46119</v>
      </c>
      <c r="E354" s="1" t="n">
        <v>46272</v>
      </c>
      <c r="F354" t="inlineStr">
        <is>
          <t>KALMAR LÄN</t>
        </is>
      </c>
      <c r="G354" t="inlineStr">
        <is>
          <t>KALMAR</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17352-2026</t>
        </is>
      </c>
      <c r="B355" t="inlineStr">
        <is>
          <t>avverkningsanmälan</t>
        </is>
      </c>
      <c r="C355" t="inlineStr">
        <is>
          <t>Föryngringsavverkning</t>
        </is>
      </c>
      <c r="D355" s="1" t="n">
        <v>46119</v>
      </c>
      <c r="E355" s="1" t="n">
        <v>46272</v>
      </c>
      <c r="F355" t="inlineStr">
        <is>
          <t>KALMAR LÄN</t>
        </is>
      </c>
      <c r="G355" t="inlineStr">
        <is>
          <t>KALMAR</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11183-2022</t>
        </is>
      </c>
      <c r="B356" t="inlineStr">
        <is>
          <t>avverkningsanmälan</t>
        </is>
      </c>
      <c r="C356" t="inlineStr">
        <is>
          <t>Föryngringsavverkning</t>
        </is>
      </c>
      <c r="D356" s="1" t="n">
        <v>44629</v>
      </c>
      <c r="E356" s="1" t="n">
        <v>46272</v>
      </c>
      <c r="F356" t="inlineStr">
        <is>
          <t>KALMAR LÄN</t>
        </is>
      </c>
      <c r="G356" t="inlineStr">
        <is>
          <t>KALMAR</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56119-2024</t>
        </is>
      </c>
      <c r="B357" t="inlineStr">
        <is>
          <t>avverkningsanmälan</t>
        </is>
      </c>
      <c r="C357" t="inlineStr">
        <is>
          <t>Föryngringsavverkning</t>
        </is>
      </c>
      <c r="D357" s="1" t="n">
        <v>45624</v>
      </c>
      <c r="E357" s="1" t="n">
        <v>46272</v>
      </c>
      <c r="F357" t="inlineStr">
        <is>
          <t>KALMAR LÄN</t>
        </is>
      </c>
      <c r="G357" t="inlineStr">
        <is>
          <t>KALMAR</t>
        </is>
      </c>
      <c r="H357" t="inlineStr">
        <is>
          <t>Sveaskog</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49830-2022</t>
        </is>
      </c>
      <c r="B358" t="inlineStr">
        <is>
          <t>avverkningsanmälan</t>
        </is>
      </c>
      <c r="C358" t="inlineStr">
        <is>
          <t>Föryngringsavverkning</t>
        </is>
      </c>
      <c r="D358" s="1" t="n">
        <v>44862</v>
      </c>
      <c r="E358" s="1" t="n">
        <v>46272</v>
      </c>
      <c r="F358" t="inlineStr">
        <is>
          <t>KALMAR LÄN</t>
        </is>
      </c>
      <c r="G358" t="inlineStr">
        <is>
          <t>KALMAR</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44765-2024</t>
        </is>
      </c>
      <c r="B359" t="inlineStr">
        <is>
          <t>avverkningsanmälan</t>
        </is>
      </c>
      <c r="C359" t="inlineStr">
        <is>
          <t>Föryngringsavverkning</t>
        </is>
      </c>
      <c r="D359" s="1" t="n">
        <v>45574</v>
      </c>
      <c r="E359" s="1" t="n">
        <v>46272</v>
      </c>
      <c r="F359" t="inlineStr">
        <is>
          <t>KALMAR LÄN</t>
        </is>
      </c>
      <c r="G359" t="inlineStr">
        <is>
          <t>KALMAR</t>
        </is>
      </c>
      <c r="H359" t="inlineStr">
        <is>
          <t>Kommuner</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27471-2023</t>
        </is>
      </c>
      <c r="B360" t="inlineStr">
        <is>
          <t>avverkningsanmälan</t>
        </is>
      </c>
      <c r="C360" t="inlineStr">
        <is>
          <t>Föryngringsavverkning</t>
        </is>
      </c>
      <c r="D360" s="1" t="n">
        <v>45097</v>
      </c>
      <c r="E360" s="1" t="n">
        <v>46272</v>
      </c>
      <c r="F360" t="inlineStr">
        <is>
          <t>KALMAR LÄN</t>
        </is>
      </c>
      <c r="G360" t="inlineStr">
        <is>
          <t>KALMAR</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71192-2021</t>
        </is>
      </c>
      <c r="B361" t="inlineStr">
        <is>
          <t>avverkningsanmälan</t>
        </is>
      </c>
      <c r="C361" t="inlineStr">
        <is>
          <t>Föryngringsavverkning</t>
        </is>
      </c>
      <c r="D361" s="1" t="n">
        <v>44539</v>
      </c>
      <c r="E361" s="1" t="n">
        <v>46272</v>
      </c>
      <c r="F361" t="inlineStr">
        <is>
          <t>KALMAR LÄN</t>
        </is>
      </c>
      <c r="G361" t="inlineStr">
        <is>
          <t>KALMAR</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36846-2023</t>
        </is>
      </c>
      <c r="B362" t="inlineStr">
        <is>
          <t>avverkningsanmälan</t>
        </is>
      </c>
      <c r="C362" t="inlineStr">
        <is>
          <t>Föryngringsavverkning</t>
        </is>
      </c>
      <c r="D362" s="1" t="n">
        <v>45154</v>
      </c>
      <c r="E362" s="1" t="n">
        <v>46272</v>
      </c>
      <c r="F362" t="inlineStr">
        <is>
          <t>KALMAR LÄN</t>
        </is>
      </c>
      <c r="G362" t="inlineStr">
        <is>
          <t>KALMAR</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19600-2026</t>
        </is>
      </c>
      <c r="B363" t="inlineStr">
        <is>
          <t>avverkningsanmälan</t>
        </is>
      </c>
      <c r="C363" t="inlineStr">
        <is>
          <t>Föryngringsavverkning</t>
        </is>
      </c>
      <c r="D363" s="1" t="n">
        <v>46134</v>
      </c>
      <c r="E363" s="1" t="n">
        <v>46272</v>
      </c>
      <c r="F363" t="inlineStr">
        <is>
          <t>KALMAR LÄN</t>
        </is>
      </c>
      <c r="G363" t="inlineStr">
        <is>
          <t>KALMAR</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42953-2023</t>
        </is>
      </c>
      <c r="B364" t="inlineStr">
        <is>
          <t>avverkningsanmälan</t>
        </is>
      </c>
      <c r="C364" t="inlineStr">
        <is>
          <t>Föryngringsavverkning</t>
        </is>
      </c>
      <c r="D364" s="1" t="n">
        <v>45182</v>
      </c>
      <c r="E364" s="1" t="n">
        <v>46272</v>
      </c>
      <c r="F364" t="inlineStr">
        <is>
          <t>KALMAR LÄN</t>
        </is>
      </c>
      <c r="G364" t="inlineStr">
        <is>
          <t>KALMAR</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59958-2022</t>
        </is>
      </c>
      <c r="B365" t="inlineStr">
        <is>
          <t>avverkningsanmälan</t>
        </is>
      </c>
      <c r="C365" t="inlineStr">
        <is>
          <t>Föryngringsavverkning</t>
        </is>
      </c>
      <c r="D365" s="1" t="n">
        <v>44909</v>
      </c>
      <c r="E365" s="1" t="n">
        <v>46272</v>
      </c>
      <c r="F365" t="inlineStr">
        <is>
          <t>KALMAR LÄN</t>
        </is>
      </c>
      <c r="G365" t="inlineStr">
        <is>
          <t>KALMAR</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19592-2026</t>
        </is>
      </c>
      <c r="B366" t="inlineStr">
        <is>
          <t>avverkningsanmälan</t>
        </is>
      </c>
      <c r="C366" t="inlineStr">
        <is>
          <t>Föryngringsavverkning</t>
        </is>
      </c>
      <c r="D366" s="1" t="n">
        <v>46134</v>
      </c>
      <c r="E366" s="1" t="n">
        <v>46272</v>
      </c>
      <c r="F366" t="inlineStr">
        <is>
          <t>KALMAR LÄN</t>
        </is>
      </c>
      <c r="G366" t="inlineStr">
        <is>
          <t>KALMAR</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10731-2023</t>
        </is>
      </c>
      <c r="B367" t="inlineStr">
        <is>
          <t>avverkningsanmälan</t>
        </is>
      </c>
      <c r="C367" t="inlineStr">
        <is>
          <t>Föryngringsavverkning</t>
        </is>
      </c>
      <c r="D367" s="1" t="n">
        <v>44988</v>
      </c>
      <c r="E367" s="1" t="n">
        <v>46272</v>
      </c>
      <c r="F367" t="inlineStr">
        <is>
          <t>KALMAR LÄN</t>
        </is>
      </c>
      <c r="G367" t="inlineStr">
        <is>
          <t>KALMAR</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56125-2024</t>
        </is>
      </c>
      <c r="B368" t="inlineStr">
        <is>
          <t>avverkningsanmälan</t>
        </is>
      </c>
      <c r="C368" t="inlineStr">
        <is>
          <t>Föryngringsavverkning</t>
        </is>
      </c>
      <c r="D368" s="1" t="n">
        <v>45624</v>
      </c>
      <c r="E368" s="1" t="n">
        <v>46272</v>
      </c>
      <c r="F368" t="inlineStr">
        <is>
          <t>KALMAR LÄN</t>
        </is>
      </c>
      <c r="G368" t="inlineStr">
        <is>
          <t>KALMAR</t>
        </is>
      </c>
      <c r="H368" t="inlineStr">
        <is>
          <t>Sveaskog</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62025-2023</t>
        </is>
      </c>
      <c r="B369" t="inlineStr">
        <is>
          <t>avverkningsanmälan</t>
        </is>
      </c>
      <c r="C369" t="inlineStr">
        <is>
          <t>Föryngringsavverkning</t>
        </is>
      </c>
      <c r="D369" s="1" t="n">
        <v>45266</v>
      </c>
      <c r="E369" s="1" t="n">
        <v>46272</v>
      </c>
      <c r="F369" t="inlineStr">
        <is>
          <t>KALMAR LÄN</t>
        </is>
      </c>
      <c r="G369" t="inlineStr">
        <is>
          <t>KALMAR</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20183-2026</t>
        </is>
      </c>
      <c r="B370" t="inlineStr">
        <is>
          <t>avverkningsanmälan</t>
        </is>
      </c>
      <c r="C370" t="inlineStr">
        <is>
          <t>Föryngringsavverkning</t>
        </is>
      </c>
      <c r="D370" s="1" t="n">
        <v>46139</v>
      </c>
      <c r="E370" s="1" t="n">
        <v>46272</v>
      </c>
      <c r="F370" t="inlineStr">
        <is>
          <t>KALMAR LÄN</t>
        </is>
      </c>
      <c r="G370" t="inlineStr">
        <is>
          <t>KALMAR</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44206-2025</t>
        </is>
      </c>
      <c r="B371" t="inlineStr">
        <is>
          <t>avverkningsanmälan</t>
        </is>
      </c>
      <c r="C371" t="inlineStr">
        <is>
          <t>Föryngringsavverkning</t>
        </is>
      </c>
      <c r="D371" s="1" t="n">
        <v>45915</v>
      </c>
      <c r="E371" s="1" t="n">
        <v>46272</v>
      </c>
      <c r="F371" t="inlineStr">
        <is>
          <t>KALMAR LÄN</t>
        </is>
      </c>
      <c r="G371" t="inlineStr">
        <is>
          <t>KALMAR</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56592-2024</t>
        </is>
      </c>
      <c r="B372" t="inlineStr">
        <is>
          <t>avverkningsanmälan</t>
        </is>
      </c>
      <c r="C372" t="inlineStr">
        <is>
          <t>Föryngringsavverkning</t>
        </is>
      </c>
      <c r="D372" s="1" t="n">
        <v>45625</v>
      </c>
      <c r="E372" s="1" t="n">
        <v>46272</v>
      </c>
      <c r="F372" t="inlineStr">
        <is>
          <t>KALMAR LÄN</t>
        </is>
      </c>
      <c r="G372" t="inlineStr">
        <is>
          <t>KALMAR</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57417-2024</t>
        </is>
      </c>
      <c r="B373" t="inlineStr">
        <is>
          <t>avverkningsanmälan</t>
        </is>
      </c>
      <c r="C373" t="inlineStr">
        <is>
          <t>Föryngringsavverkning</t>
        </is>
      </c>
      <c r="D373" s="1" t="n">
        <v>45629</v>
      </c>
      <c r="E373" s="1" t="n">
        <v>46272</v>
      </c>
      <c r="F373" t="inlineStr">
        <is>
          <t>KALMAR LÄN</t>
        </is>
      </c>
      <c r="G373" t="inlineStr">
        <is>
          <t>KALMAR</t>
        </is>
      </c>
      <c r="I373" t="n">
        <v>13.5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1653-2022</t>
        </is>
      </c>
      <c r="B374" t="inlineStr">
        <is>
          <t>avverkningsanmälan</t>
        </is>
      </c>
      <c r="C374" t="inlineStr">
        <is>
          <t>Föryngringsavverkning</t>
        </is>
      </c>
      <c r="D374" s="1" t="n">
        <v>44574</v>
      </c>
      <c r="E374" s="1" t="n">
        <v>46272</v>
      </c>
      <c r="F374" t="inlineStr">
        <is>
          <t>KALMAR LÄN</t>
        </is>
      </c>
      <c r="G374" t="inlineStr">
        <is>
          <t>KALMAR</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17067-2023</t>
        </is>
      </c>
      <c r="B375" t="inlineStr">
        <is>
          <t>avverkningsanmälan</t>
        </is>
      </c>
      <c r="C375" t="inlineStr">
        <is>
          <t>Föryngringsavverkning</t>
        </is>
      </c>
      <c r="D375" s="1" t="n">
        <v>45034</v>
      </c>
      <c r="E375" s="1" t="n">
        <v>46272</v>
      </c>
      <c r="F375" t="inlineStr">
        <is>
          <t>KALMAR LÄN</t>
        </is>
      </c>
      <c r="G375" t="inlineStr">
        <is>
          <t>KALMAR</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62984-2025</t>
        </is>
      </c>
      <c r="B376" t="inlineStr">
        <is>
          <t>avverkningsanmälan</t>
        </is>
      </c>
      <c r="C376" t="inlineStr">
        <is>
          <t>Föryngringsavverkning</t>
        </is>
      </c>
      <c r="D376" s="1" t="n">
        <v>46009</v>
      </c>
      <c r="E376" s="1" t="n">
        <v>46272</v>
      </c>
      <c r="F376" t="inlineStr">
        <is>
          <t>KALMAR LÄN</t>
        </is>
      </c>
      <c r="G376" t="inlineStr">
        <is>
          <t>KALMAR</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44046-2023</t>
        </is>
      </c>
      <c r="B377" t="inlineStr">
        <is>
          <t>avverkningsanmälan</t>
        </is>
      </c>
      <c r="C377" t="inlineStr">
        <is>
          <t>Föryngringsavverkning</t>
        </is>
      </c>
      <c r="D377" s="1" t="n">
        <v>45188</v>
      </c>
      <c r="E377" s="1" t="n">
        <v>46272</v>
      </c>
      <c r="F377" t="inlineStr">
        <is>
          <t>KALMAR LÄN</t>
        </is>
      </c>
      <c r="G377" t="inlineStr">
        <is>
          <t>KALMAR</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36260-2022</t>
        </is>
      </c>
      <c r="B378" t="inlineStr">
        <is>
          <t>avverkningsanmälan</t>
        </is>
      </c>
      <c r="C378" t="inlineStr">
        <is>
          <t>Föryngringsavverkning</t>
        </is>
      </c>
      <c r="D378" s="1" t="n">
        <v>44803</v>
      </c>
      <c r="E378" s="1" t="n">
        <v>46272</v>
      </c>
      <c r="F378" t="inlineStr">
        <is>
          <t>KALMAR LÄN</t>
        </is>
      </c>
      <c r="G378" t="inlineStr">
        <is>
          <t>KALMAR</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15658-2024</t>
        </is>
      </c>
      <c r="B379" t="inlineStr">
        <is>
          <t>avverkningsanmälan</t>
        </is>
      </c>
      <c r="C379" t="inlineStr">
        <is>
          <t>Föryngringsavverkning</t>
        </is>
      </c>
      <c r="D379" s="1" t="n">
        <v>45402</v>
      </c>
      <c r="E379" s="1" t="n">
        <v>46272</v>
      </c>
      <c r="F379" t="inlineStr">
        <is>
          <t>KALMAR LÄN</t>
        </is>
      </c>
      <c r="G379" t="inlineStr">
        <is>
          <t>KALMAR</t>
        </is>
      </c>
      <c r="H379" t="inlineStr">
        <is>
          <t>Kyrkan</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3566-2025</t>
        </is>
      </c>
      <c r="B380" t="inlineStr">
        <is>
          <t>avverkningsanmälan</t>
        </is>
      </c>
      <c r="C380" t="inlineStr">
        <is>
          <t>Föryngringsavverkning</t>
        </is>
      </c>
      <c r="D380" s="1" t="n">
        <v>45680</v>
      </c>
      <c r="E380" s="1" t="n">
        <v>46272</v>
      </c>
      <c r="F380" t="inlineStr">
        <is>
          <t>KALMAR LÄN</t>
        </is>
      </c>
      <c r="G380" t="inlineStr">
        <is>
          <t>KALMAR</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4762-2025</t>
        </is>
      </c>
      <c r="B381" t="inlineStr">
        <is>
          <t>avverkningsanmälan</t>
        </is>
      </c>
      <c r="C381" t="inlineStr">
        <is>
          <t>Föryngringsavverkning</t>
        </is>
      </c>
      <c r="D381" s="1" t="n">
        <v>45688</v>
      </c>
      <c r="E381" s="1" t="n">
        <v>46272</v>
      </c>
      <c r="F381" t="inlineStr">
        <is>
          <t>KALMAR LÄN</t>
        </is>
      </c>
      <c r="G381" t="inlineStr">
        <is>
          <t>KALMAR</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45708-2025</t>
        </is>
      </c>
      <c r="B382" t="inlineStr">
        <is>
          <t>avverkningsanmälan</t>
        </is>
      </c>
      <c r="C382" t="inlineStr">
        <is>
          <t>Föryngringsavverkning</t>
        </is>
      </c>
      <c r="D382" s="1" t="n">
        <v>45923</v>
      </c>
      <c r="E382" s="1" t="n">
        <v>46272</v>
      </c>
      <c r="F382" t="inlineStr">
        <is>
          <t>KALMAR LÄN</t>
        </is>
      </c>
      <c r="G382" t="inlineStr">
        <is>
          <t>KALMAR</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6539-2023</t>
        </is>
      </c>
      <c r="B383" t="inlineStr">
        <is>
          <t>avverkningsanmälan</t>
        </is>
      </c>
      <c r="C383" t="inlineStr">
        <is>
          <t>Föryngringsavverkning</t>
        </is>
      </c>
      <c r="D383" s="1" t="n">
        <v>44966</v>
      </c>
      <c r="E383" s="1" t="n">
        <v>46272</v>
      </c>
      <c r="F383" t="inlineStr">
        <is>
          <t>KALMAR LÄN</t>
        </is>
      </c>
      <c r="G383" t="inlineStr">
        <is>
          <t>KALMAR</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2318-2026</t>
        </is>
      </c>
      <c r="B384" t="inlineStr">
        <is>
          <t>avverkningsanmälan</t>
        </is>
      </c>
      <c r="C384" t="inlineStr">
        <is>
          <t>Föryngringsavverkning</t>
        </is>
      </c>
      <c r="D384" s="1" t="n">
        <v>46036</v>
      </c>
      <c r="E384" s="1" t="n">
        <v>46272</v>
      </c>
      <c r="F384" t="inlineStr">
        <is>
          <t>KALMAR LÄN</t>
        </is>
      </c>
      <c r="G384" t="inlineStr">
        <is>
          <t>KALMAR</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5464-2022</t>
        </is>
      </c>
      <c r="B385" t="inlineStr">
        <is>
          <t>avverkningsanmälan</t>
        </is>
      </c>
      <c r="C385" t="inlineStr">
        <is>
          <t>Föryngringsavverkning</t>
        </is>
      </c>
      <c r="D385" s="1" t="n">
        <v>44595</v>
      </c>
      <c r="E385" s="1" t="n">
        <v>46272</v>
      </c>
      <c r="F385" t="inlineStr">
        <is>
          <t>KALMAR LÄN</t>
        </is>
      </c>
      <c r="G385" t="inlineStr">
        <is>
          <t>KALMAR</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27565-2023</t>
        </is>
      </c>
      <c r="B386" t="inlineStr">
        <is>
          <t>avverkningsanmälan</t>
        </is>
      </c>
      <c r="C386" t="inlineStr">
        <is>
          <t>Föryngringsavverkning</t>
        </is>
      </c>
      <c r="D386" s="1" t="n">
        <v>45097</v>
      </c>
      <c r="E386" s="1" t="n">
        <v>46272</v>
      </c>
      <c r="F386" t="inlineStr">
        <is>
          <t>KALMAR LÄN</t>
        </is>
      </c>
      <c r="G386" t="inlineStr">
        <is>
          <t>KALMAR</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4769-2025</t>
        </is>
      </c>
      <c r="B387" t="inlineStr">
        <is>
          <t>avverkningsanmälan</t>
        </is>
      </c>
      <c r="C387" t="inlineStr">
        <is>
          <t>Föryngringsavverkning</t>
        </is>
      </c>
      <c r="D387" s="1" t="n">
        <v>45688</v>
      </c>
      <c r="E387" s="1" t="n">
        <v>46272</v>
      </c>
      <c r="F387" t="inlineStr">
        <is>
          <t>KALMAR LÄN</t>
        </is>
      </c>
      <c r="G387" t="inlineStr">
        <is>
          <t>KALMAR</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4241-2025</t>
        </is>
      </c>
      <c r="B388" t="inlineStr">
        <is>
          <t>avverkningsanmälan</t>
        </is>
      </c>
      <c r="C388" t="inlineStr">
        <is>
          <t>Avverkning för annat ändamål</t>
        </is>
      </c>
      <c r="D388" s="1" t="n">
        <v>45685</v>
      </c>
      <c r="E388" s="1" t="n">
        <v>46272</v>
      </c>
      <c r="F388" t="inlineStr">
        <is>
          <t>KALMAR LÄN</t>
        </is>
      </c>
      <c r="G388" t="inlineStr">
        <is>
          <t>KALMAR</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18847-2023</t>
        </is>
      </c>
      <c r="B389" t="inlineStr">
        <is>
          <t>avverkningsanmälan</t>
        </is>
      </c>
      <c r="C389" t="inlineStr">
        <is>
          <t>Föryngringsavverkning</t>
        </is>
      </c>
      <c r="D389" s="1" t="n">
        <v>45044</v>
      </c>
      <c r="E389" s="1" t="n">
        <v>46272</v>
      </c>
      <c r="F389" t="inlineStr">
        <is>
          <t>KALMAR LÄN</t>
        </is>
      </c>
      <c r="G389" t="inlineStr">
        <is>
          <t>KALMAR</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20203-2026</t>
        </is>
      </c>
      <c r="B390" t="inlineStr">
        <is>
          <t>avverkningsanmälan</t>
        </is>
      </c>
      <c r="C390" t="inlineStr">
        <is>
          <t>Föryngringsavverkning</t>
        </is>
      </c>
      <c r="D390" s="1" t="n">
        <v>46139</v>
      </c>
      <c r="E390" s="1" t="n">
        <v>46272</v>
      </c>
      <c r="F390" t="inlineStr">
        <is>
          <t>KALMAR LÄN</t>
        </is>
      </c>
      <c r="G390" t="inlineStr">
        <is>
          <t>KALMAR</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1940-2023</t>
        </is>
      </c>
      <c r="B391" t="inlineStr">
        <is>
          <t>avverkningsanmälan</t>
        </is>
      </c>
      <c r="C391" t="inlineStr">
        <is>
          <t>Föryngringsavverkning</t>
        </is>
      </c>
      <c r="D391" s="1" t="n">
        <v>44939</v>
      </c>
      <c r="E391" s="1" t="n">
        <v>46272</v>
      </c>
      <c r="F391" t="inlineStr">
        <is>
          <t>KALMAR LÄN</t>
        </is>
      </c>
      <c r="G391" t="inlineStr">
        <is>
          <t>KALMAR</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26903-2024</t>
        </is>
      </c>
      <c r="B392" t="inlineStr">
        <is>
          <t>avverkningsanmälan</t>
        </is>
      </c>
      <c r="C392" t="inlineStr">
        <is>
          <t>Föryngringsavverkning</t>
        </is>
      </c>
      <c r="D392" s="1" t="n">
        <v>45470</v>
      </c>
      <c r="E392" s="1" t="n">
        <v>46272</v>
      </c>
      <c r="F392" t="inlineStr">
        <is>
          <t>KALMAR LÄN</t>
        </is>
      </c>
      <c r="G392" t="inlineStr">
        <is>
          <t>KALMAR</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18875-2025</t>
        </is>
      </c>
      <c r="B393" t="inlineStr">
        <is>
          <t>avverkningsanmälan</t>
        </is>
      </c>
      <c r="C393" t="inlineStr">
        <is>
          <t>Föryngringsavverkning</t>
        </is>
      </c>
      <c r="D393" s="1" t="n">
        <v>45764</v>
      </c>
      <c r="E393" s="1" t="n">
        <v>46272</v>
      </c>
      <c r="F393" t="inlineStr">
        <is>
          <t>KALMAR LÄN</t>
        </is>
      </c>
      <c r="G393" t="inlineStr">
        <is>
          <t>KALMAR</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32955-2023</t>
        </is>
      </c>
      <c r="B394" t="inlineStr">
        <is>
          <t>avverkningsanmälan</t>
        </is>
      </c>
      <c r="C394" t="inlineStr">
        <is>
          <t>Föryngringsavverkning</t>
        </is>
      </c>
      <c r="D394" s="1" t="n">
        <v>45125</v>
      </c>
      <c r="E394" s="1" t="n">
        <v>46272</v>
      </c>
      <c r="F394" t="inlineStr">
        <is>
          <t>KALMAR LÄN</t>
        </is>
      </c>
      <c r="G394" t="inlineStr">
        <is>
          <t>KALMAR</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11614-2025</t>
        </is>
      </c>
      <c r="B395" t="inlineStr">
        <is>
          <t>avverkningsanmälan</t>
        </is>
      </c>
      <c r="C395" t="inlineStr">
        <is>
          <t>Föryngringsavverkning</t>
        </is>
      </c>
      <c r="D395" s="1" t="n">
        <v>45727</v>
      </c>
      <c r="E395" s="1" t="n">
        <v>46272</v>
      </c>
      <c r="F395" t="inlineStr">
        <is>
          <t>KALMAR LÄN</t>
        </is>
      </c>
      <c r="G395" t="inlineStr">
        <is>
          <t>KALMAR</t>
        </is>
      </c>
      <c r="I395" t="n">
        <v>9.300000000000001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13414-2024</t>
        </is>
      </c>
      <c r="B396" t="inlineStr">
        <is>
          <t>avverkningsanmälan</t>
        </is>
      </c>
      <c r="C396" t="inlineStr">
        <is>
          <t>Föryngringsavverkning</t>
        </is>
      </c>
      <c r="D396" s="1" t="n">
        <v>45387</v>
      </c>
      <c r="E396" s="1" t="n">
        <v>46272</v>
      </c>
      <c r="F396" t="inlineStr">
        <is>
          <t>KALMAR LÄN</t>
        </is>
      </c>
      <c r="G396" t="inlineStr">
        <is>
          <t>KALMAR</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13416-2024</t>
        </is>
      </c>
      <c r="B397" t="inlineStr">
        <is>
          <t>avverkningsanmälan</t>
        </is>
      </c>
      <c r="C397" t="inlineStr">
        <is>
          <t>Föryngringsavverkning</t>
        </is>
      </c>
      <c r="D397" s="1" t="n">
        <v>45387</v>
      </c>
      <c r="E397" s="1" t="n">
        <v>46272</v>
      </c>
      <c r="F397" t="inlineStr">
        <is>
          <t>KALMAR LÄN</t>
        </is>
      </c>
      <c r="G397" t="inlineStr">
        <is>
          <t>KALMAR</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27947-2024</t>
        </is>
      </c>
      <c r="B398" t="inlineStr">
        <is>
          <t>avverkningsanmälan</t>
        </is>
      </c>
      <c r="C398" t="inlineStr">
        <is>
          <t>Föryngringsavverkning</t>
        </is>
      </c>
      <c r="D398" s="1" t="n">
        <v>45476</v>
      </c>
      <c r="E398" s="1" t="n">
        <v>46272</v>
      </c>
      <c r="F398" t="inlineStr">
        <is>
          <t>KALMAR LÄN</t>
        </is>
      </c>
      <c r="G398" t="inlineStr">
        <is>
          <t>KALMAR</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54551-2022</t>
        </is>
      </c>
      <c r="B399" t="inlineStr">
        <is>
          <t>avverkningsanmälan</t>
        </is>
      </c>
      <c r="C399" t="inlineStr">
        <is>
          <t>Föryngringsavverkning</t>
        </is>
      </c>
      <c r="D399" s="1" t="n">
        <v>44882</v>
      </c>
      <c r="E399" s="1" t="n">
        <v>46272</v>
      </c>
      <c r="F399" t="inlineStr">
        <is>
          <t>KALMAR LÄN</t>
        </is>
      </c>
      <c r="G399" t="inlineStr">
        <is>
          <t>KALMAR</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56293-2024</t>
        </is>
      </c>
      <c r="B400" t="inlineStr">
        <is>
          <t>avverkningsanmälan</t>
        </is>
      </c>
      <c r="C400" t="inlineStr">
        <is>
          <t>Föryngringsavverkning</t>
        </is>
      </c>
      <c r="D400" s="1" t="n">
        <v>45624</v>
      </c>
      <c r="E400" s="1" t="n">
        <v>46272</v>
      </c>
      <c r="F400" t="inlineStr">
        <is>
          <t>KALMAR LÄN</t>
        </is>
      </c>
      <c r="G400" t="inlineStr">
        <is>
          <t>KALMAR</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36126-2024</t>
        </is>
      </c>
      <c r="B401" t="inlineStr">
        <is>
          <t>avverkningsanmälan</t>
        </is>
      </c>
      <c r="C401" t="inlineStr">
        <is>
          <t>Föryngringsavverkning</t>
        </is>
      </c>
      <c r="D401" s="1" t="n">
        <v>45534</v>
      </c>
      <c r="E401" s="1" t="n">
        <v>46272</v>
      </c>
      <c r="F401" t="inlineStr">
        <is>
          <t>KALMAR LÄN</t>
        </is>
      </c>
      <c r="G401" t="inlineStr">
        <is>
          <t>KALMAR</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5332-2023</t>
        </is>
      </c>
      <c r="B402" t="inlineStr">
        <is>
          <t>avverkningsanmälan</t>
        </is>
      </c>
      <c r="C402" t="inlineStr">
        <is>
          <t>Föryngringsavverkning</t>
        </is>
      </c>
      <c r="D402" s="1" t="n">
        <v>44959</v>
      </c>
      <c r="E402" s="1" t="n">
        <v>46272</v>
      </c>
      <c r="F402" t="inlineStr">
        <is>
          <t>KALMAR LÄN</t>
        </is>
      </c>
      <c r="G402" t="inlineStr">
        <is>
          <t>KALMAR</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10041-2025</t>
        </is>
      </c>
      <c r="B403" t="inlineStr">
        <is>
          <t>avverkningsanmälan</t>
        </is>
      </c>
      <c r="C403" t="inlineStr">
        <is>
          <t>Föryngringsavverkning</t>
        </is>
      </c>
      <c r="D403" s="1" t="n">
        <v>45719</v>
      </c>
      <c r="E403" s="1" t="n">
        <v>46272</v>
      </c>
      <c r="F403" t="inlineStr">
        <is>
          <t>KALMAR LÄN</t>
        </is>
      </c>
      <c r="G403" t="inlineStr">
        <is>
          <t>KALMAR</t>
        </is>
      </c>
      <c r="H403" t="inlineStr">
        <is>
          <t>Sveaskog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72194-2021</t>
        </is>
      </c>
      <c r="B404" t="inlineStr">
        <is>
          <t>avverkningsanmälan</t>
        </is>
      </c>
      <c r="C404" t="inlineStr">
        <is>
          <t>Föryngringsavverkning</t>
        </is>
      </c>
      <c r="D404" s="1" t="n">
        <v>44544</v>
      </c>
      <c r="E404" s="1" t="n">
        <v>46272</v>
      </c>
      <c r="F404" t="inlineStr">
        <is>
          <t>KALMAR LÄN</t>
        </is>
      </c>
      <c r="G404" t="inlineStr">
        <is>
          <t>KALMAR</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46239-2022</t>
        </is>
      </c>
      <c r="B405" t="inlineStr">
        <is>
          <t>avverkningsanmälan</t>
        </is>
      </c>
      <c r="C405" t="inlineStr">
        <is>
          <t>Föryngringsavverkning</t>
        </is>
      </c>
      <c r="D405" s="1" t="n">
        <v>44847</v>
      </c>
      <c r="E405" s="1" t="n">
        <v>46272</v>
      </c>
      <c r="F405" t="inlineStr">
        <is>
          <t>KALMAR LÄN</t>
        </is>
      </c>
      <c r="G405" t="inlineStr">
        <is>
          <t>KALMAR</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14247-2026</t>
        </is>
      </c>
      <c r="B406" t="inlineStr">
        <is>
          <t>avverkningsanmälan</t>
        </is>
      </c>
      <c r="C406" t="inlineStr">
        <is>
          <t>Föryngringsavverkning</t>
        </is>
      </c>
      <c r="D406" s="1" t="n">
        <v>46099</v>
      </c>
      <c r="E406" s="1" t="n">
        <v>46272</v>
      </c>
      <c r="F406" t="inlineStr">
        <is>
          <t>KALMAR LÄN</t>
        </is>
      </c>
      <c r="G406" t="inlineStr">
        <is>
          <t>KALMAR</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71843-2021</t>
        </is>
      </c>
      <c r="B407" t="inlineStr">
        <is>
          <t>avverkningsanmälan</t>
        </is>
      </c>
      <c r="C407" t="inlineStr">
        <is>
          <t>Föryngringsavverkning</t>
        </is>
      </c>
      <c r="D407" s="1" t="n">
        <v>44543</v>
      </c>
      <c r="E407" s="1" t="n">
        <v>46272</v>
      </c>
      <c r="F407" t="inlineStr">
        <is>
          <t>KALMAR LÄN</t>
        </is>
      </c>
      <c r="G407" t="inlineStr">
        <is>
          <t>KALMAR</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47387-2023</t>
        </is>
      </c>
      <c r="B408" t="inlineStr">
        <is>
          <t>avverkningsanmälan</t>
        </is>
      </c>
      <c r="C408" t="inlineStr">
        <is>
          <t>Föryngringsavverkning</t>
        </is>
      </c>
      <c r="D408" s="1" t="n">
        <v>45202</v>
      </c>
      <c r="E408" s="1" t="n">
        <v>46272</v>
      </c>
      <c r="F408" t="inlineStr">
        <is>
          <t>KALMAR LÄN</t>
        </is>
      </c>
      <c r="G408" t="inlineStr">
        <is>
          <t>KALMAR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19541-2023</t>
        </is>
      </c>
      <c r="B409" t="inlineStr">
        <is>
          <t>avverkningsanmälan</t>
        </is>
      </c>
      <c r="C409" t="inlineStr">
        <is>
          <t>Föryngringsavverkning</t>
        </is>
      </c>
      <c r="D409" s="1" t="n">
        <v>45050</v>
      </c>
      <c r="E409" s="1" t="n">
        <v>46272</v>
      </c>
      <c r="F409" t="inlineStr">
        <is>
          <t>KALMAR LÄN</t>
        </is>
      </c>
      <c r="G409" t="inlineStr">
        <is>
          <t>KALMAR</t>
        </is>
      </c>
      <c r="I409" t="n">
        <v>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1903-2024</t>
        </is>
      </c>
      <c r="B410" t="inlineStr">
        <is>
          <t>avverkningsanmälan</t>
        </is>
      </c>
      <c r="C410" t="inlineStr">
        <is>
          <t>Föryngringsavverkning</t>
        </is>
      </c>
      <c r="D410" s="1" t="n">
        <v>45308</v>
      </c>
      <c r="E410" s="1" t="n">
        <v>46272</v>
      </c>
      <c r="F410" t="inlineStr">
        <is>
          <t>KALMAR LÄN</t>
        </is>
      </c>
      <c r="G410" t="inlineStr">
        <is>
          <t>KALMAR</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11388-2023</t>
        </is>
      </c>
      <c r="B411" t="inlineStr">
        <is>
          <t>avverkningsanmälan</t>
        </is>
      </c>
      <c r="C411" t="inlineStr">
        <is>
          <t>Avverkning för annat ändamål</t>
        </is>
      </c>
      <c r="D411" s="1" t="n">
        <v>44993</v>
      </c>
      <c r="E411" s="1" t="n">
        <v>46272</v>
      </c>
      <c r="F411" t="inlineStr">
        <is>
          <t>KALMAR LÄN</t>
        </is>
      </c>
      <c r="G411" t="inlineStr">
        <is>
          <t>KALMAR</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32500-2022</t>
        </is>
      </c>
      <c r="B412" t="inlineStr">
        <is>
          <t>avverkningsanmälan</t>
        </is>
      </c>
      <c r="C412" t="inlineStr">
        <is>
          <t>Föryngringsavverkning</t>
        </is>
      </c>
      <c r="D412" s="1" t="n">
        <v>44782</v>
      </c>
      <c r="E412" s="1" t="n">
        <v>46272</v>
      </c>
      <c r="F412" t="inlineStr">
        <is>
          <t>KALMAR LÄN</t>
        </is>
      </c>
      <c r="G412" t="inlineStr">
        <is>
          <t>KALMAR</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23231-2023</t>
        </is>
      </c>
      <c r="B413" t="inlineStr">
        <is>
          <t>avverkningsanmälan</t>
        </is>
      </c>
      <c r="C413" t="inlineStr">
        <is>
          <t>Föryngringsavverkning</t>
        </is>
      </c>
      <c r="D413" s="1" t="n">
        <v>45075</v>
      </c>
      <c r="E413" s="1" t="n">
        <v>46272</v>
      </c>
      <c r="F413" t="inlineStr">
        <is>
          <t>KALMAR LÄN</t>
        </is>
      </c>
      <c r="G413" t="inlineStr">
        <is>
          <t>KALMAR</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22544-2026</t>
        </is>
      </c>
      <c r="B414" t="inlineStr">
        <is>
          <t>avverkningsanmälan</t>
        </is>
      </c>
      <c r="C414" t="inlineStr">
        <is>
          <t>Föryngringsavverkning</t>
        </is>
      </c>
      <c r="D414" s="1" t="n">
        <v>46155</v>
      </c>
      <c r="E414" s="1" t="n">
        <v>46272</v>
      </c>
      <c r="F414" t="inlineStr">
        <is>
          <t>KALMAR LÄN</t>
        </is>
      </c>
      <c r="G414" t="inlineStr">
        <is>
          <t>KALMAR</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31371-2023</t>
        </is>
      </c>
      <c r="B415" t="inlineStr">
        <is>
          <t>avverkningsanmälan</t>
        </is>
      </c>
      <c r="C415" t="inlineStr">
        <is>
          <t>Föryngringsavverkning</t>
        </is>
      </c>
      <c r="D415" s="1" t="n">
        <v>45114</v>
      </c>
      <c r="E415" s="1" t="n">
        <v>46272</v>
      </c>
      <c r="F415" t="inlineStr">
        <is>
          <t>KALMAR LÄN</t>
        </is>
      </c>
      <c r="G415" t="inlineStr">
        <is>
          <t>KALMAR</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41073-2023</t>
        </is>
      </c>
      <c r="B416" t="inlineStr">
        <is>
          <t>avverkningsanmälan</t>
        </is>
      </c>
      <c r="C416" t="inlineStr">
        <is>
          <t>Föryngringsavverkning</t>
        </is>
      </c>
      <c r="D416" s="1" t="n">
        <v>45173</v>
      </c>
      <c r="E416" s="1" t="n">
        <v>46272</v>
      </c>
      <c r="F416" t="inlineStr">
        <is>
          <t>KALMAR LÄN</t>
        </is>
      </c>
      <c r="G416" t="inlineStr">
        <is>
          <t>KALMAR</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22598-2026</t>
        </is>
      </c>
      <c r="B417" t="inlineStr">
        <is>
          <t>avverkningsanmälan</t>
        </is>
      </c>
      <c r="C417" t="inlineStr">
        <is>
          <t>Föryngringsavverkning</t>
        </is>
      </c>
      <c r="D417" s="1" t="n">
        <v>46155</v>
      </c>
      <c r="E417" s="1" t="n">
        <v>46272</v>
      </c>
      <c r="F417" t="inlineStr">
        <is>
          <t>KALMAR LÄN</t>
        </is>
      </c>
      <c r="G417" t="inlineStr">
        <is>
          <t>KALMAR</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22593-2026</t>
        </is>
      </c>
      <c r="B418" t="inlineStr">
        <is>
          <t>avverkningsanmälan</t>
        </is>
      </c>
      <c r="C418" t="inlineStr">
        <is>
          <t>Föryngringsavverkning</t>
        </is>
      </c>
      <c r="D418" s="1" t="n">
        <v>46155</v>
      </c>
      <c r="E418" s="1" t="n">
        <v>46272</v>
      </c>
      <c r="F418" t="inlineStr">
        <is>
          <t>KALMAR LÄN</t>
        </is>
      </c>
      <c r="G418" t="inlineStr">
        <is>
          <t>KALMAR</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13415-2024</t>
        </is>
      </c>
      <c r="B419" t="inlineStr">
        <is>
          <t>avverkningsanmälan</t>
        </is>
      </c>
      <c r="C419" t="inlineStr">
        <is>
          <t>Föryngringsavverkning</t>
        </is>
      </c>
      <c r="D419" s="1" t="n">
        <v>45387</v>
      </c>
      <c r="E419" s="1" t="n">
        <v>46272</v>
      </c>
      <c r="F419" t="inlineStr">
        <is>
          <t>KALMAR LÄN</t>
        </is>
      </c>
      <c r="G419" t="inlineStr">
        <is>
          <t>KALMAR</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13419-2024</t>
        </is>
      </c>
      <c r="B420" t="inlineStr">
        <is>
          <t>avverkningsanmälan</t>
        </is>
      </c>
      <c r="C420" t="inlineStr">
        <is>
          <t>Föryngringsavverkning</t>
        </is>
      </c>
      <c r="D420" s="1" t="n">
        <v>45387</v>
      </c>
      <c r="E420" s="1" t="n">
        <v>46272</v>
      </c>
      <c r="F420" t="inlineStr">
        <is>
          <t>KALMAR LÄN</t>
        </is>
      </c>
      <c r="G420" t="inlineStr">
        <is>
          <t>KALMAR</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41941-2025</t>
        </is>
      </c>
      <c r="B421" t="inlineStr">
        <is>
          <t>avverkningsanmälan</t>
        </is>
      </c>
      <c r="C421" t="inlineStr">
        <is>
          <t>Avverkning för annat ändamål</t>
        </is>
      </c>
      <c r="D421" s="1" t="n">
        <v>45903</v>
      </c>
      <c r="E421" s="1" t="n">
        <v>46272</v>
      </c>
      <c r="F421" t="inlineStr">
        <is>
          <t>KALMAR LÄN</t>
        </is>
      </c>
      <c r="G421" t="inlineStr">
        <is>
          <t>KALMAR</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22933-2026</t>
        </is>
      </c>
      <c r="B422" t="inlineStr">
        <is>
          <t>avverkningsanmälan</t>
        </is>
      </c>
      <c r="C422" t="inlineStr">
        <is>
          <t>Föryngringsavverkning</t>
        </is>
      </c>
      <c r="D422" s="1" t="n">
        <v>46160</v>
      </c>
      <c r="E422" s="1" t="n">
        <v>46272</v>
      </c>
      <c r="F422" t="inlineStr">
        <is>
          <t>KALMAR LÄN</t>
        </is>
      </c>
      <c r="G422" t="inlineStr">
        <is>
          <t>KALMAR</t>
        </is>
      </c>
      <c r="I422" t="n">
        <v>6.7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22-2022</t>
        </is>
      </c>
      <c r="B423" t="inlineStr">
        <is>
          <t>avverkningsanmälan</t>
        </is>
      </c>
      <c r="C423" t="inlineStr">
        <is>
          <t>Föryngringsavverkning</t>
        </is>
      </c>
      <c r="D423" s="1" t="n">
        <v>44564</v>
      </c>
      <c r="E423" s="1" t="n">
        <v>46272</v>
      </c>
      <c r="F423" t="inlineStr">
        <is>
          <t>KALMAR LÄN</t>
        </is>
      </c>
      <c r="G423" t="inlineStr">
        <is>
          <t>KALMAR</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54806-2023</t>
        </is>
      </c>
      <c r="B424" t="inlineStr">
        <is>
          <t>avverkningsanmälan</t>
        </is>
      </c>
      <c r="C424" t="inlineStr">
        <is>
          <t>Föryngringsavverkning</t>
        </is>
      </c>
      <c r="D424" s="1" t="n">
        <v>45236</v>
      </c>
      <c r="E424" s="1" t="n">
        <v>46272</v>
      </c>
      <c r="F424" t="inlineStr">
        <is>
          <t>KALMAR LÄN</t>
        </is>
      </c>
      <c r="G424" t="inlineStr">
        <is>
          <t>KALMAR</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22935-2026</t>
        </is>
      </c>
      <c r="B425" t="inlineStr">
        <is>
          <t>avverkningsanmälan</t>
        </is>
      </c>
      <c r="C425" t="inlineStr">
        <is>
          <t>Föryngringsavverkning</t>
        </is>
      </c>
      <c r="D425" s="1" t="n">
        <v>46160</v>
      </c>
      <c r="E425" s="1" t="n">
        <v>46272</v>
      </c>
      <c r="F425" t="inlineStr">
        <is>
          <t>KALMAR LÄN</t>
        </is>
      </c>
      <c r="G425" t="inlineStr">
        <is>
          <t>KALMAR</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23304-2026</t>
        </is>
      </c>
      <c r="B426" t="inlineStr">
        <is>
          <t>avverkningsanmälan</t>
        </is>
      </c>
      <c r="C426" t="inlineStr">
        <is>
          <t>Föryngringsavverkning</t>
        </is>
      </c>
      <c r="D426" s="1" t="n">
        <v>46162</v>
      </c>
      <c r="E426" s="1" t="n">
        <v>46272</v>
      </c>
      <c r="F426" t="inlineStr">
        <is>
          <t>KALMAR LÄN</t>
        </is>
      </c>
      <c r="G426" t="inlineStr">
        <is>
          <t>KALMAR</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23300-2026</t>
        </is>
      </c>
      <c r="B427" t="inlineStr">
        <is>
          <t>avverkningsanmälan</t>
        </is>
      </c>
      <c r="C427" t="inlineStr">
        <is>
          <t>Föryngringsavverkning</t>
        </is>
      </c>
      <c r="D427" s="1" t="n">
        <v>46162</v>
      </c>
      <c r="E427" s="1" t="n">
        <v>46272</v>
      </c>
      <c r="F427" t="inlineStr">
        <is>
          <t>KALMAR LÄN</t>
        </is>
      </c>
      <c r="G427" t="inlineStr">
        <is>
          <t>KALMAR</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36016-2023</t>
        </is>
      </c>
      <c r="B428" t="inlineStr">
        <is>
          <t>avverkningsanmälan</t>
        </is>
      </c>
      <c r="C428" t="inlineStr">
        <is>
          <t>Föryngringsavverkning</t>
        </is>
      </c>
      <c r="D428" s="1" t="n">
        <v>45149</v>
      </c>
      <c r="E428" s="1" t="n">
        <v>46272</v>
      </c>
      <c r="F428" t="inlineStr">
        <is>
          <t>KALMAR LÄN</t>
        </is>
      </c>
      <c r="G428" t="inlineStr">
        <is>
          <t>KALMAR</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36018-2023</t>
        </is>
      </c>
      <c r="B429" t="inlineStr">
        <is>
          <t>avverkningsanmälan</t>
        </is>
      </c>
      <c r="C429" t="inlineStr">
        <is>
          <t>Föryngringsavverkning</t>
        </is>
      </c>
      <c r="D429" s="1" t="n">
        <v>45149</v>
      </c>
      <c r="E429" s="1" t="n">
        <v>46272</v>
      </c>
      <c r="F429" t="inlineStr">
        <is>
          <t>KALMAR LÄN</t>
        </is>
      </c>
      <c r="G429" t="inlineStr">
        <is>
          <t>KALMAR</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34736-2023</t>
        </is>
      </c>
      <c r="B430" t="inlineStr">
        <is>
          <t>avverkningsanmälan</t>
        </is>
      </c>
      <c r="C430" t="inlineStr">
        <is>
          <t>Föryngringsavverkning</t>
        </is>
      </c>
      <c r="D430" s="1" t="n">
        <v>45141</v>
      </c>
      <c r="E430" s="1" t="n">
        <v>46272</v>
      </c>
      <c r="F430" t="inlineStr">
        <is>
          <t>KALMAR LÄN</t>
        </is>
      </c>
      <c r="G430" t="inlineStr">
        <is>
          <t>KALMAR</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7471-2023</t>
        </is>
      </c>
      <c r="B431" t="inlineStr">
        <is>
          <t>avverkningsanmälan</t>
        </is>
      </c>
      <c r="C431" t="inlineStr">
        <is>
          <t>Föryngringsavverkning</t>
        </is>
      </c>
      <c r="D431" s="1" t="n">
        <v>44971</v>
      </c>
      <c r="E431" s="1" t="n">
        <v>46272</v>
      </c>
      <c r="F431" t="inlineStr">
        <is>
          <t>KALMAR LÄN</t>
        </is>
      </c>
      <c r="G431" t="inlineStr">
        <is>
          <t>KALMAR</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23297-2026</t>
        </is>
      </c>
      <c r="B432" t="inlineStr">
        <is>
          <t>avverkningsanmälan</t>
        </is>
      </c>
      <c r="C432" t="inlineStr">
        <is>
          <t>Föryngringsavverkning</t>
        </is>
      </c>
      <c r="D432" s="1" t="n">
        <v>46162</v>
      </c>
      <c r="E432" s="1" t="n">
        <v>46272</v>
      </c>
      <c r="F432" t="inlineStr">
        <is>
          <t>KALMAR LÄN</t>
        </is>
      </c>
      <c r="G432" t="inlineStr">
        <is>
          <t>KALMAR</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48242-2023</t>
        </is>
      </c>
      <c r="B433" t="inlineStr">
        <is>
          <t>avverkningsanmälan</t>
        </is>
      </c>
      <c r="C433" t="inlineStr">
        <is>
          <t>Föryngringsavverkning</t>
        </is>
      </c>
      <c r="D433" s="1" t="n">
        <v>45205</v>
      </c>
      <c r="E433" s="1" t="n">
        <v>46272</v>
      </c>
      <c r="F433" t="inlineStr">
        <is>
          <t>KALMAR LÄN</t>
        </is>
      </c>
      <c r="G433" t="inlineStr">
        <is>
          <t>KALMAR</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34228-2024</t>
        </is>
      </c>
      <c r="B434" t="inlineStr">
        <is>
          <t>avverkningsanmälan</t>
        </is>
      </c>
      <c r="C434" t="inlineStr">
        <is>
          <t>Föryngringsavverkning</t>
        </is>
      </c>
      <c r="D434" s="1" t="n">
        <v>45524</v>
      </c>
      <c r="E434" s="1" t="n">
        <v>46272</v>
      </c>
      <c r="F434" t="inlineStr">
        <is>
          <t>KALMAR LÄN</t>
        </is>
      </c>
      <c r="G434" t="inlineStr">
        <is>
          <t>KALMAR</t>
        </is>
      </c>
      <c r="I434" t="n">
        <v>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28299-2023</t>
        </is>
      </c>
      <c r="B435" t="inlineStr">
        <is>
          <t>avverkningsanmälan</t>
        </is>
      </c>
      <c r="C435" t="inlineStr">
        <is>
          <t>Föryngringsavverkning</t>
        </is>
      </c>
      <c r="D435" s="1" t="n">
        <v>45099</v>
      </c>
      <c r="E435" s="1" t="n">
        <v>46272</v>
      </c>
      <c r="F435" t="inlineStr">
        <is>
          <t>KALMAR LÄN</t>
        </is>
      </c>
      <c r="G435" t="inlineStr">
        <is>
          <t>KALMAR</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49757-2023</t>
        </is>
      </c>
      <c r="B436" t="inlineStr">
        <is>
          <t>avverkningsanmälan</t>
        </is>
      </c>
      <c r="C436" t="inlineStr">
        <is>
          <t>Föryngringsavverkning</t>
        </is>
      </c>
      <c r="D436" s="1" t="n">
        <v>45212</v>
      </c>
      <c r="E436" s="1" t="n">
        <v>46272</v>
      </c>
      <c r="F436" t="inlineStr">
        <is>
          <t>KALMAR LÄN</t>
        </is>
      </c>
      <c r="G436" t="inlineStr">
        <is>
          <t>KALMAR</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51962-2024</t>
        </is>
      </c>
      <c r="B437" t="inlineStr">
        <is>
          <t>avverkningsanmälan</t>
        </is>
      </c>
      <c r="C437" t="inlineStr">
        <is>
          <t>Avverkning för annat ändamål</t>
        </is>
      </c>
      <c r="D437" s="1" t="n">
        <v>45607</v>
      </c>
      <c r="E437" s="1" t="n">
        <v>46272</v>
      </c>
      <c r="F437" t="inlineStr">
        <is>
          <t>KALMAR LÄN</t>
        </is>
      </c>
      <c r="G437" t="inlineStr">
        <is>
          <t>KALMAR</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54450-2023</t>
        </is>
      </c>
      <c r="B438" t="inlineStr">
        <is>
          <t>avverkningsanmälan</t>
        </is>
      </c>
      <c r="C438" t="inlineStr">
        <is>
          <t>Föryngringsavverkning</t>
        </is>
      </c>
      <c r="D438" s="1" t="n">
        <v>45233</v>
      </c>
      <c r="E438" s="1" t="n">
        <v>46272</v>
      </c>
      <c r="F438" t="inlineStr">
        <is>
          <t>KALMAR LÄN</t>
        </is>
      </c>
      <c r="G438" t="inlineStr">
        <is>
          <t>KALMAR</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37305-2024</t>
        </is>
      </c>
      <c r="B439" t="inlineStr">
        <is>
          <t>avverkningsanmälan</t>
        </is>
      </c>
      <c r="C439" t="inlineStr">
        <is>
          <t>Föryngringsavverkning</t>
        </is>
      </c>
      <c r="D439" s="1" t="n">
        <v>45540</v>
      </c>
      <c r="E439" s="1" t="n">
        <v>46272</v>
      </c>
      <c r="F439" t="inlineStr">
        <is>
          <t>KALMAR LÄN</t>
        </is>
      </c>
      <c r="G439" t="inlineStr">
        <is>
          <t>KALMAR</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40180-2023</t>
        </is>
      </c>
      <c r="B440" t="inlineStr">
        <is>
          <t>avverkningsanmälan</t>
        </is>
      </c>
      <c r="C440" t="inlineStr">
        <is>
          <t>Föryngringsavverkning</t>
        </is>
      </c>
      <c r="D440" s="1" t="n">
        <v>45169</v>
      </c>
      <c r="E440" s="1" t="n">
        <v>46272</v>
      </c>
      <c r="F440" t="inlineStr">
        <is>
          <t>KALMAR LÄN</t>
        </is>
      </c>
      <c r="G440" t="inlineStr">
        <is>
          <t>KALMAR</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57036-2021</t>
        </is>
      </c>
      <c r="B441" t="inlineStr">
        <is>
          <t>avverkningsanmälan</t>
        </is>
      </c>
      <c r="C441" t="inlineStr">
        <is>
          <t>Föryngringsavverkning</t>
        </is>
      </c>
      <c r="D441" s="1" t="n">
        <v>44482</v>
      </c>
      <c r="E441" s="1" t="n">
        <v>46272</v>
      </c>
      <c r="F441" t="inlineStr">
        <is>
          <t>KALMAR LÄN</t>
        </is>
      </c>
      <c r="G441" t="inlineStr">
        <is>
          <t>KALMAR</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57617-2023</t>
        </is>
      </c>
      <c r="B442" t="inlineStr">
        <is>
          <t>avverkningsanmälan</t>
        </is>
      </c>
      <c r="C442" t="inlineStr">
        <is>
          <t>Föryngringsavverkning</t>
        </is>
      </c>
      <c r="D442" s="1" t="n">
        <v>45246</v>
      </c>
      <c r="E442" s="1" t="n">
        <v>46272</v>
      </c>
      <c r="F442" t="inlineStr">
        <is>
          <t>KALMAR LÄN</t>
        </is>
      </c>
      <c r="G442" t="inlineStr">
        <is>
          <t>KALMAR</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56921-2024</t>
        </is>
      </c>
      <c r="B443" t="inlineStr">
        <is>
          <t>avverkningsanmälan</t>
        </is>
      </c>
      <c r="C443" t="inlineStr">
        <is>
          <t>Föryngringsavverkning</t>
        </is>
      </c>
      <c r="D443" s="1" t="n">
        <v>45628</v>
      </c>
      <c r="E443" s="1" t="n">
        <v>46272</v>
      </c>
      <c r="F443" t="inlineStr">
        <is>
          <t>KALMAR LÄN</t>
        </is>
      </c>
      <c r="G443" t="inlineStr">
        <is>
          <t>KALMAR</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14264-2026</t>
        </is>
      </c>
      <c r="B444" t="inlineStr">
        <is>
          <t>avverkningsanmälan</t>
        </is>
      </c>
      <c r="C444" t="inlineStr">
        <is>
          <t>Föryngringsavverkning</t>
        </is>
      </c>
      <c r="D444" s="1" t="n">
        <v>46099</v>
      </c>
      <c r="E444" s="1" t="n">
        <v>46272</v>
      </c>
      <c r="F444" t="inlineStr">
        <is>
          <t>KALMAR LÄN</t>
        </is>
      </c>
      <c r="G444" t="inlineStr">
        <is>
          <t>KALMAR</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31806-2023</t>
        </is>
      </c>
      <c r="B445" t="inlineStr">
        <is>
          <t>avverkningsanmälan</t>
        </is>
      </c>
      <c r="C445" t="inlineStr">
        <is>
          <t>Föryngringsavverkning</t>
        </is>
      </c>
      <c r="D445" s="1" t="n">
        <v>45118</v>
      </c>
      <c r="E445" s="1" t="n">
        <v>46272</v>
      </c>
      <c r="F445" t="inlineStr">
        <is>
          <t>KALMAR LÄN</t>
        </is>
      </c>
      <c r="G445" t="inlineStr">
        <is>
          <t>KALMAR</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14726-2022</t>
        </is>
      </c>
      <c r="B446" t="inlineStr">
        <is>
          <t>avverkningsanmälan</t>
        </is>
      </c>
      <c r="C446" t="inlineStr">
        <is>
          <t>Föryngringsavverkning</t>
        </is>
      </c>
      <c r="D446" s="1" t="n">
        <v>44656</v>
      </c>
      <c r="E446" s="1" t="n">
        <v>46272</v>
      </c>
      <c r="F446" t="inlineStr">
        <is>
          <t>KALMAR LÄN</t>
        </is>
      </c>
      <c r="G446" t="inlineStr">
        <is>
          <t>KALMAR</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18804-2022</t>
        </is>
      </c>
      <c r="B447" t="inlineStr">
        <is>
          <t>avverkningsanmälan</t>
        </is>
      </c>
      <c r="C447" t="inlineStr">
        <is>
          <t>Föryngringsavverkning</t>
        </is>
      </c>
      <c r="D447" s="1" t="n">
        <v>44690</v>
      </c>
      <c r="E447" s="1" t="n">
        <v>46272</v>
      </c>
      <c r="F447" t="inlineStr">
        <is>
          <t>KALMAR LÄN</t>
        </is>
      </c>
      <c r="G447" t="inlineStr">
        <is>
          <t>KALMAR</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39843-2022</t>
        </is>
      </c>
      <c r="B448" t="inlineStr">
        <is>
          <t>avverkningsanmälan</t>
        </is>
      </c>
      <c r="C448" t="inlineStr">
        <is>
          <t>Föryngringsavverkning</t>
        </is>
      </c>
      <c r="D448" s="1" t="n">
        <v>44819</v>
      </c>
      <c r="E448" s="1" t="n">
        <v>46272</v>
      </c>
      <c r="F448" t="inlineStr">
        <is>
          <t>KALMAR LÄN</t>
        </is>
      </c>
      <c r="G448" t="inlineStr">
        <is>
          <t>KALMAR</t>
        </is>
      </c>
      <c r="I448" t="n">
        <v>4.2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4026-2023</t>
        </is>
      </c>
      <c r="B449" t="inlineStr">
        <is>
          <t>avverkningsanmälan</t>
        </is>
      </c>
      <c r="C449" t="inlineStr">
        <is>
          <t>Föryngringsavverkning</t>
        </is>
      </c>
      <c r="D449" s="1" t="n">
        <v>44952</v>
      </c>
      <c r="E449" s="1" t="n">
        <v>46272</v>
      </c>
      <c r="F449" t="inlineStr">
        <is>
          <t>KALMAR LÄN</t>
        </is>
      </c>
      <c r="G449" t="inlineStr">
        <is>
          <t>KALMAR</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4025-2024</t>
        </is>
      </c>
      <c r="B450" t="inlineStr">
        <is>
          <t>avverkningsanmälan</t>
        </is>
      </c>
      <c r="C450" t="inlineStr">
        <is>
          <t>Föryngringsavverkning</t>
        </is>
      </c>
      <c r="D450" s="1" t="n">
        <v>45323</v>
      </c>
      <c r="E450" s="1" t="n">
        <v>46272</v>
      </c>
      <c r="F450" t="inlineStr">
        <is>
          <t>KALMAR LÄN</t>
        </is>
      </c>
      <c r="G450" t="inlineStr">
        <is>
          <t>KALMAR</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26593-2023</t>
        </is>
      </c>
      <c r="B451" t="inlineStr">
        <is>
          <t>avverkningsanmälan</t>
        </is>
      </c>
      <c r="C451" t="inlineStr">
        <is>
          <t>Föryngringsavverkning</t>
        </is>
      </c>
      <c r="D451" s="1" t="n">
        <v>45092</v>
      </c>
      <c r="E451" s="1" t="n">
        <v>46272</v>
      </c>
      <c r="F451" t="inlineStr">
        <is>
          <t>KALMAR LÄN</t>
        </is>
      </c>
      <c r="G451" t="inlineStr">
        <is>
          <t>KALMAR</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25214-2023</t>
        </is>
      </c>
      <c r="B452" t="inlineStr">
        <is>
          <t>avverkningsanmälan</t>
        </is>
      </c>
      <c r="C452" t="inlineStr">
        <is>
          <t>Föryngringsavverkning</t>
        </is>
      </c>
      <c r="D452" s="1" t="n">
        <v>45086</v>
      </c>
      <c r="E452" s="1" t="n">
        <v>46272</v>
      </c>
      <c r="F452" t="inlineStr">
        <is>
          <t>KALMAR LÄN</t>
        </is>
      </c>
      <c r="G452" t="inlineStr">
        <is>
          <t>KALMAR</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44172-2025</t>
        </is>
      </c>
      <c r="B453" t="inlineStr">
        <is>
          <t>avverkningsanmälan</t>
        </is>
      </c>
      <c r="C453" t="inlineStr">
        <is>
          <t>Föryngringsavverkning</t>
        </is>
      </c>
      <c r="D453" s="1" t="n">
        <v>45915</v>
      </c>
      <c r="E453" s="1" t="n">
        <v>46272</v>
      </c>
      <c r="F453" t="inlineStr">
        <is>
          <t>KALMAR LÄN</t>
        </is>
      </c>
      <c r="G453" t="inlineStr">
        <is>
          <t>KALMAR</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25562-2026</t>
        </is>
      </c>
      <c r="B454" t="inlineStr">
        <is>
          <t>avverkningsanmälan</t>
        </is>
      </c>
      <c r="C454" t="inlineStr">
        <is>
          <t>Föryngringsavverkning</t>
        </is>
      </c>
      <c r="D454" s="1" t="n">
        <v>46177</v>
      </c>
      <c r="E454" s="1" t="n">
        <v>46272</v>
      </c>
      <c r="F454" t="inlineStr">
        <is>
          <t>KALMAR LÄN</t>
        </is>
      </c>
      <c r="G454" t="inlineStr">
        <is>
          <t>KALMAR</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57138-2022</t>
        </is>
      </c>
      <c r="B455" t="inlineStr">
        <is>
          <t>avverkningsanmälan</t>
        </is>
      </c>
      <c r="C455" t="inlineStr">
        <is>
          <t>Föryngringsavverkning</t>
        </is>
      </c>
      <c r="D455" s="1" t="n">
        <v>44895</v>
      </c>
      <c r="E455" s="1" t="n">
        <v>46272</v>
      </c>
      <c r="F455" t="inlineStr">
        <is>
          <t>KALMAR LÄN</t>
        </is>
      </c>
      <c r="G455" t="inlineStr">
        <is>
          <t>KALMAR</t>
        </is>
      </c>
      <c r="I455" t="n">
        <v>15.6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37433-2023</t>
        </is>
      </c>
      <c r="B456" t="inlineStr">
        <is>
          <t>avverkningsanmälan</t>
        </is>
      </c>
      <c r="C456" t="inlineStr">
        <is>
          <t>Föryngringsavverkning</t>
        </is>
      </c>
      <c r="D456" s="1" t="n">
        <v>45156</v>
      </c>
      <c r="E456" s="1" t="n">
        <v>46272</v>
      </c>
      <c r="F456" t="inlineStr">
        <is>
          <t>KALMAR LÄN</t>
        </is>
      </c>
      <c r="G456" t="inlineStr">
        <is>
          <t>KALMAR</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17085-2023</t>
        </is>
      </c>
      <c r="B457" t="inlineStr">
        <is>
          <t>avverkningsanmälan</t>
        </is>
      </c>
      <c r="C457" t="inlineStr">
        <is>
          <t>Föryngringsavverkning</t>
        </is>
      </c>
      <c r="D457" s="1" t="n">
        <v>45034</v>
      </c>
      <c r="E457" s="1" t="n">
        <v>46272</v>
      </c>
      <c r="F457" t="inlineStr">
        <is>
          <t>KALMAR LÄN</t>
        </is>
      </c>
      <c r="G457" t="inlineStr">
        <is>
          <t>KALMAR</t>
        </is>
      </c>
      <c r="I457" t="n">
        <v>6.9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59455-2023</t>
        </is>
      </c>
      <c r="B458" t="inlineStr">
        <is>
          <t>avverkningsanmälan</t>
        </is>
      </c>
      <c r="C458" t="inlineStr">
        <is>
          <t>Föryngringsavverkning</t>
        </is>
      </c>
      <c r="D458" s="1" t="n">
        <v>45254</v>
      </c>
      <c r="E458" s="1" t="n">
        <v>46272</v>
      </c>
      <c r="F458" t="inlineStr">
        <is>
          <t>KALMAR LÄN</t>
        </is>
      </c>
      <c r="G458" t="inlineStr">
        <is>
          <t>KALMAR</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41155-2023</t>
        </is>
      </c>
      <c r="B459" t="inlineStr">
        <is>
          <t>avverkningsanmälan</t>
        </is>
      </c>
      <c r="C459" t="inlineStr">
        <is>
          <t>Föryngringsavverkning</t>
        </is>
      </c>
      <c r="D459" s="1" t="n">
        <v>45174</v>
      </c>
      <c r="E459" s="1" t="n">
        <v>46272</v>
      </c>
      <c r="F459" t="inlineStr">
        <is>
          <t>KALMAR LÄN</t>
        </is>
      </c>
      <c r="G459" t="inlineStr">
        <is>
          <t>KALMAR</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9869-2024</t>
        </is>
      </c>
      <c r="B460" t="inlineStr">
        <is>
          <t>avverkningsanmälan</t>
        </is>
      </c>
      <c r="C460" t="inlineStr">
        <is>
          <t>Föryngringsavverkning</t>
        </is>
      </c>
      <c r="D460" s="1" t="n">
        <v>45363</v>
      </c>
      <c r="E460" s="1" t="n">
        <v>46272</v>
      </c>
      <c r="F460" t="inlineStr">
        <is>
          <t>KALMAR LÄN</t>
        </is>
      </c>
      <c r="G460" t="inlineStr">
        <is>
          <t>KALMAR</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39453-2022</t>
        </is>
      </c>
      <c r="B461" t="inlineStr">
        <is>
          <t>avverkningsanmälan</t>
        </is>
      </c>
      <c r="C461" t="inlineStr">
        <is>
          <t>Föryngringsavverkning</t>
        </is>
      </c>
      <c r="D461" s="1" t="n">
        <v>44818</v>
      </c>
      <c r="E461" s="1" t="n">
        <v>46272</v>
      </c>
      <c r="F461" t="inlineStr">
        <is>
          <t>KALMAR LÄN</t>
        </is>
      </c>
      <c r="G461" t="inlineStr">
        <is>
          <t>KALMAR</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35515-2024</t>
        </is>
      </c>
      <c r="B462" t="inlineStr">
        <is>
          <t>avverkningsanmälan</t>
        </is>
      </c>
      <c r="C462" t="inlineStr">
        <is>
          <t>Föryngringsavverkning</t>
        </is>
      </c>
      <c r="D462" s="1" t="n">
        <v>45531</v>
      </c>
      <c r="E462" s="1" t="n">
        <v>46272</v>
      </c>
      <c r="F462" t="inlineStr">
        <is>
          <t>KALMAR LÄN</t>
        </is>
      </c>
      <c r="G462" t="inlineStr">
        <is>
          <t>KALMAR</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27166-2026</t>
        </is>
      </c>
      <c r="B463" t="inlineStr">
        <is>
          <t>avverkningsanmälan</t>
        </is>
      </c>
      <c r="C463" t="inlineStr">
        <is>
          <t>Föryngringsavverkning</t>
        </is>
      </c>
      <c r="D463" s="1" t="n">
        <v>46188</v>
      </c>
      <c r="E463" s="1" t="n">
        <v>46272</v>
      </c>
      <c r="F463" t="inlineStr">
        <is>
          <t>KALMAR LÄN</t>
        </is>
      </c>
      <c r="G463" t="inlineStr">
        <is>
          <t>KALMAR</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4182-2024</t>
        </is>
      </c>
      <c r="B464" t="inlineStr">
        <is>
          <t>avverkningsanmälan</t>
        </is>
      </c>
      <c r="C464" t="inlineStr">
        <is>
          <t>Föryngringsavverkning</t>
        </is>
      </c>
      <c r="D464" s="1" t="n">
        <v>45324</v>
      </c>
      <c r="E464" s="1" t="n">
        <v>46272</v>
      </c>
      <c r="F464" t="inlineStr">
        <is>
          <t>KALMAR LÄN</t>
        </is>
      </c>
      <c r="G464" t="inlineStr">
        <is>
          <t>KALMAR</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26815-2026</t>
        </is>
      </c>
      <c r="B465" t="inlineStr">
        <is>
          <t>avverkningsanmälan</t>
        </is>
      </c>
      <c r="C465" t="inlineStr">
        <is>
          <t>Föryngringsavverkning</t>
        </is>
      </c>
      <c r="D465" s="1" t="n">
        <v>46185</v>
      </c>
      <c r="E465" s="1" t="n">
        <v>46272</v>
      </c>
      <c r="F465" t="inlineStr">
        <is>
          <t>KALMAR LÄN</t>
        </is>
      </c>
      <c r="G465" t="inlineStr">
        <is>
          <t>KALMAR</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23664-2024</t>
        </is>
      </c>
      <c r="B466" t="inlineStr">
        <is>
          <t>avverkningsanmälan</t>
        </is>
      </c>
      <c r="C466" t="inlineStr">
        <is>
          <t>Föryngringsavverkning</t>
        </is>
      </c>
      <c r="D466" s="1" t="n">
        <v>45454</v>
      </c>
      <c r="E466" s="1" t="n">
        <v>46272</v>
      </c>
      <c r="F466" t="inlineStr">
        <is>
          <t>KALMAR LÄN</t>
        </is>
      </c>
      <c r="G466" t="inlineStr">
        <is>
          <t>KALMAR</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2185-2026</t>
        </is>
      </c>
      <c r="B467" t="inlineStr">
        <is>
          <t>avverkningsanmälan</t>
        </is>
      </c>
      <c r="C467" t="inlineStr">
        <is>
          <t>Föryngringsavverkning</t>
        </is>
      </c>
      <c r="D467" s="1" t="n">
        <v>46036</v>
      </c>
      <c r="E467" s="1" t="n">
        <v>46272</v>
      </c>
      <c r="F467" t="inlineStr">
        <is>
          <t>KALMAR LÄN</t>
        </is>
      </c>
      <c r="G467" t="inlineStr">
        <is>
          <t>KALMAR</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7345-2025</t>
        </is>
      </c>
      <c r="B468" t="inlineStr">
        <is>
          <t>avverkningsanmälan</t>
        </is>
      </c>
      <c r="C468" t="inlineStr">
        <is>
          <t>Föryngringsavverkning</t>
        </is>
      </c>
      <c r="D468" s="1" t="n">
        <v>45703</v>
      </c>
      <c r="E468" s="1" t="n">
        <v>46272</v>
      </c>
      <c r="F468" t="inlineStr">
        <is>
          <t>KALMAR LÄN</t>
        </is>
      </c>
      <c r="G468" t="inlineStr">
        <is>
          <t>KALMAR</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25749-2026</t>
        </is>
      </c>
      <c r="B469" t="inlineStr">
        <is>
          <t>avverkningsanmälan</t>
        </is>
      </c>
      <c r="C469" t="inlineStr">
        <is>
          <t>Föryngringsavverkning</t>
        </is>
      </c>
      <c r="D469" s="1" t="n">
        <v>46178</v>
      </c>
      <c r="E469" s="1" t="n">
        <v>46272</v>
      </c>
      <c r="F469" t="inlineStr">
        <is>
          <t>KALMAR LÄN</t>
        </is>
      </c>
      <c r="G469" t="inlineStr">
        <is>
          <t>KALMAR</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28-2022</t>
        </is>
      </c>
      <c r="B470" t="inlineStr">
        <is>
          <t>avverkningsanmälan</t>
        </is>
      </c>
      <c r="C470" t="inlineStr">
        <is>
          <t>Föryngringsavverkning</t>
        </is>
      </c>
      <c r="D470" s="1" t="n">
        <v>44564</v>
      </c>
      <c r="E470" s="1" t="n">
        <v>46272</v>
      </c>
      <c r="F470" t="inlineStr">
        <is>
          <t>KALMAR LÄN</t>
        </is>
      </c>
      <c r="G470" t="inlineStr">
        <is>
          <t>KALMAR</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48933-2023</t>
        </is>
      </c>
      <c r="B471" t="inlineStr">
        <is>
          <t>avverkningsanmälan</t>
        </is>
      </c>
      <c r="C471" t="inlineStr">
        <is>
          <t>Föryngringsavverkning</t>
        </is>
      </c>
      <c r="D471" s="1" t="n">
        <v>45209</v>
      </c>
      <c r="E471" s="1" t="n">
        <v>46272</v>
      </c>
      <c r="F471" t="inlineStr">
        <is>
          <t>KALMAR LÄN</t>
        </is>
      </c>
      <c r="G471" t="inlineStr">
        <is>
          <t>KALMAR</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48943-2023</t>
        </is>
      </c>
      <c r="B472" t="inlineStr">
        <is>
          <t>avverkningsanmälan</t>
        </is>
      </c>
      <c r="C472" t="inlineStr">
        <is>
          <t>Föryngringsavverkning</t>
        </is>
      </c>
      <c r="D472" s="1" t="n">
        <v>45209</v>
      </c>
      <c r="E472" s="1" t="n">
        <v>46272</v>
      </c>
      <c r="F472" t="inlineStr">
        <is>
          <t>KALMAR LÄN</t>
        </is>
      </c>
      <c r="G472" t="inlineStr">
        <is>
          <t>KALMAR</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26078-2023</t>
        </is>
      </c>
      <c r="B473" t="inlineStr">
        <is>
          <t>avverkningsanmälan</t>
        </is>
      </c>
      <c r="C473" t="inlineStr">
        <is>
          <t>Föryngringsavverkning</t>
        </is>
      </c>
      <c r="D473" s="1" t="n">
        <v>45091</v>
      </c>
      <c r="E473" s="1" t="n">
        <v>46272</v>
      </c>
      <c r="F473" t="inlineStr">
        <is>
          <t>KALMAR LÄN</t>
        </is>
      </c>
      <c r="G473" t="inlineStr">
        <is>
          <t>KALMAR</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60638-2023</t>
        </is>
      </c>
      <c r="B474" t="inlineStr">
        <is>
          <t>avverkningsanmälan</t>
        </is>
      </c>
      <c r="C474" t="inlineStr">
        <is>
          <t>Föryngringsavverkning</t>
        </is>
      </c>
      <c r="D474" s="1" t="n">
        <v>45260</v>
      </c>
      <c r="E474" s="1" t="n">
        <v>46272</v>
      </c>
      <c r="F474" t="inlineStr">
        <is>
          <t>KALMAR LÄN</t>
        </is>
      </c>
      <c r="G474" t="inlineStr">
        <is>
          <t>KALMAR</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28444-2026</t>
        </is>
      </c>
      <c r="B475" t="inlineStr">
        <is>
          <t>avverkningsanmälan</t>
        </is>
      </c>
      <c r="C475" t="inlineStr">
        <is>
          <t>Föryngringsavverkning</t>
        </is>
      </c>
      <c r="D475" s="1" t="n">
        <v>46197</v>
      </c>
      <c r="E475" s="1" t="n">
        <v>46272</v>
      </c>
      <c r="F475" t="inlineStr">
        <is>
          <t>KALMAR LÄN</t>
        </is>
      </c>
      <c r="G475" t="inlineStr">
        <is>
          <t>KALMAR</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8735-2023</t>
        </is>
      </c>
      <c r="B476" t="inlineStr">
        <is>
          <t>avverkningsanmälan</t>
        </is>
      </c>
      <c r="C476" t="inlineStr">
        <is>
          <t>Föryngringsavverkning</t>
        </is>
      </c>
      <c r="D476" s="1" t="n">
        <v>44978</v>
      </c>
      <c r="E476" s="1" t="n">
        <v>46272</v>
      </c>
      <c r="F476" t="inlineStr">
        <is>
          <t>KALMAR LÄN</t>
        </is>
      </c>
      <c r="G476" t="inlineStr">
        <is>
          <t>KALMAR</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28746-2026</t>
        </is>
      </c>
      <c r="B477" t="inlineStr">
        <is>
          <t>avverkningsanmälan</t>
        </is>
      </c>
      <c r="C477" t="inlineStr">
        <is>
          <t>Föryngringsavverkning</t>
        </is>
      </c>
      <c r="D477" s="1" t="n">
        <v>46198</v>
      </c>
      <c r="E477" s="1" t="n">
        <v>46272</v>
      </c>
      <c r="F477" t="inlineStr">
        <is>
          <t>KALMAR LÄN</t>
        </is>
      </c>
      <c r="G477" t="inlineStr">
        <is>
          <t>KALMAR</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63279-2023</t>
        </is>
      </c>
      <c r="B478" t="inlineStr">
        <is>
          <t>avverkningsanmälan</t>
        </is>
      </c>
      <c r="C478" t="inlineStr">
        <is>
          <t>Föryngringsavverkning</t>
        </is>
      </c>
      <c r="D478" s="1" t="n">
        <v>45273</v>
      </c>
      <c r="E478" s="1" t="n">
        <v>46272</v>
      </c>
      <c r="F478" t="inlineStr">
        <is>
          <t>KALMAR LÄN</t>
        </is>
      </c>
      <c r="G478" t="inlineStr">
        <is>
          <t>KALMAR</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5575-2024</t>
        </is>
      </c>
      <c r="B479" t="inlineStr">
        <is>
          <t>avverkningsanmälan</t>
        </is>
      </c>
      <c r="C479" t="inlineStr">
        <is>
          <t>Föryngringsavverkning</t>
        </is>
      </c>
      <c r="D479" s="1" t="n">
        <v>45334</v>
      </c>
      <c r="E479" s="1" t="n">
        <v>46272</v>
      </c>
      <c r="F479" t="inlineStr">
        <is>
          <t>KALMAR LÄN</t>
        </is>
      </c>
      <c r="G479" t="inlineStr">
        <is>
          <t>KALMAR</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28924-2026</t>
        </is>
      </c>
      <c r="B480" t="inlineStr">
        <is>
          <t>avverkningsanmälan</t>
        </is>
      </c>
      <c r="C480" t="inlineStr">
        <is>
          <t>Föryngringsavverkning</t>
        </is>
      </c>
      <c r="D480" s="1" t="n">
        <v>46199</v>
      </c>
      <c r="E480" s="1" t="n">
        <v>46272</v>
      </c>
      <c r="F480" t="inlineStr">
        <is>
          <t>KALMAR LÄN</t>
        </is>
      </c>
      <c r="G480" t="inlineStr">
        <is>
          <t>KALMAR</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44547-2023</t>
        </is>
      </c>
      <c r="B481" t="inlineStr">
        <is>
          <t>avverkningsanmälan</t>
        </is>
      </c>
      <c r="C481" t="inlineStr">
        <is>
          <t>Föryngringsavverkning</t>
        </is>
      </c>
      <c r="D481" s="1" t="n">
        <v>45189</v>
      </c>
      <c r="E481" s="1" t="n">
        <v>46272</v>
      </c>
      <c r="F481" t="inlineStr">
        <is>
          <t>KALMAR LÄN</t>
        </is>
      </c>
      <c r="G481" t="inlineStr">
        <is>
          <t>KALMAR</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29160-2026</t>
        </is>
      </c>
      <c r="B482" t="inlineStr">
        <is>
          <t>avverkningsanmälan</t>
        </is>
      </c>
      <c r="C482" t="inlineStr">
        <is>
          <t>Föryngringsavverkning</t>
        </is>
      </c>
      <c r="D482" s="1" t="n">
        <v>46202</v>
      </c>
      <c r="E482" s="1" t="n">
        <v>46272</v>
      </c>
      <c r="F482" t="inlineStr">
        <is>
          <t>KALMAR LÄN</t>
        </is>
      </c>
      <c r="G482" t="inlineStr">
        <is>
          <t>KALMAR</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8700-2024</t>
        </is>
      </c>
      <c r="B483" t="inlineStr">
        <is>
          <t>avverkningsanmälan</t>
        </is>
      </c>
      <c r="C483" t="inlineStr">
        <is>
          <t>Föryngringsavverkning</t>
        </is>
      </c>
      <c r="D483" s="1" t="n">
        <v>45356</v>
      </c>
      <c r="E483" s="1" t="n">
        <v>46272</v>
      </c>
      <c r="F483" t="inlineStr">
        <is>
          <t>KALMAR LÄN</t>
        </is>
      </c>
      <c r="G483" t="inlineStr">
        <is>
          <t>KALMAR</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29489-2026</t>
        </is>
      </c>
      <c r="B484" t="inlineStr">
        <is>
          <t>avverkningsanmälan</t>
        </is>
      </c>
      <c r="C484" t="inlineStr">
        <is>
          <t>Föryngringsavverkning</t>
        </is>
      </c>
      <c r="D484" s="1" t="n">
        <v>46203</v>
      </c>
      <c r="E484" s="1" t="n">
        <v>46272</v>
      </c>
      <c r="F484" t="inlineStr">
        <is>
          <t>KALMAR LÄN</t>
        </is>
      </c>
      <c r="G484" t="inlineStr">
        <is>
          <t>KALMAR</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16149-2023</t>
        </is>
      </c>
      <c r="B485" t="inlineStr">
        <is>
          <t>avverkningsanmälan</t>
        </is>
      </c>
      <c r="C485" t="inlineStr">
        <is>
          <t>Föryngringsavverkning</t>
        </is>
      </c>
      <c r="D485" s="1" t="n">
        <v>45027</v>
      </c>
      <c r="E485" s="1" t="n">
        <v>46272</v>
      </c>
      <c r="F485" t="inlineStr">
        <is>
          <t>KALMAR LÄN</t>
        </is>
      </c>
      <c r="G485" t="inlineStr">
        <is>
          <t>KALMAR</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33452-2026</t>
        </is>
      </c>
      <c r="B486" t="inlineStr">
        <is>
          <t>avverkningsanmälan</t>
        </is>
      </c>
      <c r="C486" t="inlineStr">
        <is>
          <t>Föryngringsavverkning</t>
        </is>
      </c>
      <c r="D486" s="1" t="n">
        <v>46247</v>
      </c>
      <c r="E486" s="1" t="n">
        <v>46272</v>
      </c>
      <c r="F486" t="inlineStr">
        <is>
          <t>KALMAR LÄN</t>
        </is>
      </c>
      <c r="G486" t="inlineStr">
        <is>
          <t>KALMAR</t>
        </is>
      </c>
      <c r="H486" t="inlineStr">
        <is>
          <t>Sveaskog</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33398-2026</t>
        </is>
      </c>
      <c r="B487" t="inlineStr">
        <is>
          <t>avverkningsanmälan</t>
        </is>
      </c>
      <c r="C487" t="inlineStr">
        <is>
          <t>Föryngringsavverkning</t>
        </is>
      </c>
      <c r="D487" s="1" t="n">
        <v>46247</v>
      </c>
      <c r="E487" s="1" t="n">
        <v>46272</v>
      </c>
      <c r="F487" t="inlineStr">
        <is>
          <t>KALMAR LÄN</t>
        </is>
      </c>
      <c r="G487" t="inlineStr">
        <is>
          <t>KALMAR</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21799-2023</t>
        </is>
      </c>
      <c r="B488" t="inlineStr">
        <is>
          <t>avverkningsanmälan</t>
        </is>
      </c>
      <c r="C488" t="inlineStr">
        <is>
          <t>Föryngringsavverkning</t>
        </is>
      </c>
      <c r="D488" s="1" t="n">
        <v>45067</v>
      </c>
      <c r="E488" s="1" t="n">
        <v>46272</v>
      </c>
      <c r="F488" t="inlineStr">
        <is>
          <t>KALMAR LÄN</t>
        </is>
      </c>
      <c r="G488" t="inlineStr">
        <is>
          <t>KALMAR</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40449-2022</t>
        </is>
      </c>
      <c r="B489" t="inlineStr">
        <is>
          <t>avverkningsanmälan</t>
        </is>
      </c>
      <c r="C489" t="inlineStr">
        <is>
          <t>Föryngringsavverkning</t>
        </is>
      </c>
      <c r="D489" s="1" t="n">
        <v>44823</v>
      </c>
      <c r="E489" s="1" t="n">
        <v>46272</v>
      </c>
      <c r="F489" t="inlineStr">
        <is>
          <t>KALMAR LÄN</t>
        </is>
      </c>
      <c r="G489" t="inlineStr">
        <is>
          <t>KALMAR</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40457-2022</t>
        </is>
      </c>
      <c r="B490" t="inlineStr">
        <is>
          <t>avverkningsanmälan</t>
        </is>
      </c>
      <c r="C490" t="inlineStr">
        <is>
          <t>Föryngringsavverkning</t>
        </is>
      </c>
      <c r="D490" s="1" t="n">
        <v>44823</v>
      </c>
      <c r="E490" s="1" t="n">
        <v>46272</v>
      </c>
      <c r="F490" t="inlineStr">
        <is>
          <t>KALMAR LÄN</t>
        </is>
      </c>
      <c r="G490" t="inlineStr">
        <is>
          <t>KALMAR</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25515-2022</t>
        </is>
      </c>
      <c r="B491" t="inlineStr">
        <is>
          <t>avverkningsanmälan</t>
        </is>
      </c>
      <c r="C491" t="inlineStr">
        <is>
          <t>Föryngringsavverkning</t>
        </is>
      </c>
      <c r="D491" s="1" t="n">
        <v>44732</v>
      </c>
      <c r="E491" s="1" t="n">
        <v>46272</v>
      </c>
      <c r="F491" t="inlineStr">
        <is>
          <t>KALMAR LÄN</t>
        </is>
      </c>
      <c r="G491" t="inlineStr">
        <is>
          <t>KALMAR</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5930-2023</t>
        </is>
      </c>
      <c r="B492" t="inlineStr">
        <is>
          <t>avverkningsanmälan</t>
        </is>
      </c>
      <c r="C492" t="inlineStr">
        <is>
          <t>Föryngringsavverkning</t>
        </is>
      </c>
      <c r="D492" s="1" t="n">
        <v>44963</v>
      </c>
      <c r="E492" s="1" t="n">
        <v>46272</v>
      </c>
      <c r="F492" t="inlineStr">
        <is>
          <t>KALMAR LÄN</t>
        </is>
      </c>
      <c r="G492" t="inlineStr">
        <is>
          <t>KALMAR</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5941-2023</t>
        </is>
      </c>
      <c r="B493" t="inlineStr">
        <is>
          <t>avverkningsanmälan</t>
        </is>
      </c>
      <c r="C493" t="inlineStr">
        <is>
          <t>Föryngringsavverkning</t>
        </is>
      </c>
      <c r="D493" s="1" t="n">
        <v>44963</v>
      </c>
      <c r="E493" s="1" t="n">
        <v>46272</v>
      </c>
      <c r="F493" t="inlineStr">
        <is>
          <t>KALMAR LÄN</t>
        </is>
      </c>
      <c r="G493" t="inlineStr">
        <is>
          <t>KALMAR</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33386-2026</t>
        </is>
      </c>
      <c r="B494" t="inlineStr">
        <is>
          <t>avverkningsanmälan</t>
        </is>
      </c>
      <c r="C494" t="inlineStr">
        <is>
          <t>Föryngringsavverkning</t>
        </is>
      </c>
      <c r="D494" s="1" t="n">
        <v>46247</v>
      </c>
      <c r="E494" s="1" t="n">
        <v>46272</v>
      </c>
      <c r="F494" t="inlineStr">
        <is>
          <t>KALMAR LÄN</t>
        </is>
      </c>
      <c r="G494" t="inlineStr">
        <is>
          <t>KALMAR</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6643-2024</t>
        </is>
      </c>
      <c r="B495" t="inlineStr">
        <is>
          <t>avverkningsanmälan</t>
        </is>
      </c>
      <c r="C495" t="inlineStr">
        <is>
          <t>Föryngringsavverkning</t>
        </is>
      </c>
      <c r="D495" s="1" t="n">
        <v>45341</v>
      </c>
      <c r="E495" s="1" t="n">
        <v>46272</v>
      </c>
      <c r="F495" t="inlineStr">
        <is>
          <t>KALMAR LÄN</t>
        </is>
      </c>
      <c r="G495" t="inlineStr">
        <is>
          <t>KALMAR</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6012-2024</t>
        </is>
      </c>
      <c r="B496" t="inlineStr">
        <is>
          <t>avverkningsanmälan</t>
        </is>
      </c>
      <c r="C496" t="inlineStr">
        <is>
          <t>Föryngringsavverkning</t>
        </is>
      </c>
      <c r="D496" s="1" t="n">
        <v>45336</v>
      </c>
      <c r="E496" s="1" t="n">
        <v>46272</v>
      </c>
      <c r="F496" t="inlineStr">
        <is>
          <t>KALMAR LÄN</t>
        </is>
      </c>
      <c r="G496" t="inlineStr">
        <is>
          <t>KALMAR</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20182-2026</t>
        </is>
      </c>
      <c r="B497" t="inlineStr">
        <is>
          <t>avverkningsanmälan</t>
        </is>
      </c>
      <c r="C497" t="inlineStr">
        <is>
          <t>Föryngringsavverkning</t>
        </is>
      </c>
      <c r="D497" s="1" t="n">
        <v>46139</v>
      </c>
      <c r="E497" s="1" t="n">
        <v>46272</v>
      </c>
      <c r="F497" t="inlineStr">
        <is>
          <t>KALMAR LÄN</t>
        </is>
      </c>
      <c r="G497" t="inlineStr">
        <is>
          <t>KALMAR</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54747-2024</t>
        </is>
      </c>
      <c r="B498" t="inlineStr">
        <is>
          <t>avverkningsanmälan</t>
        </is>
      </c>
      <c r="C498" t="inlineStr">
        <is>
          <t>Avverkning för att bevara och utveckla /försöksver</t>
        </is>
      </c>
      <c r="D498" s="1" t="n">
        <v>45618</v>
      </c>
      <c r="E498" s="1" t="n">
        <v>46272</v>
      </c>
      <c r="F498" t="inlineStr">
        <is>
          <t>KALMAR LÄN</t>
        </is>
      </c>
      <c r="G498" t="inlineStr">
        <is>
          <t>KALMAR</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37312-2024</t>
        </is>
      </c>
      <c r="B499" t="inlineStr">
        <is>
          <t>avverkningsanmälan</t>
        </is>
      </c>
      <c r="C499" t="inlineStr">
        <is>
          <t>Föryngringsavverkning</t>
        </is>
      </c>
      <c r="D499" s="1" t="n">
        <v>45540</v>
      </c>
      <c r="E499" s="1" t="n">
        <v>46272</v>
      </c>
      <c r="F499" t="inlineStr">
        <is>
          <t>KALMAR LÄN</t>
        </is>
      </c>
      <c r="G499" t="inlineStr">
        <is>
          <t>KALMAR</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23486-2023</t>
        </is>
      </c>
      <c r="B500" t="inlineStr">
        <is>
          <t>avverkningsanmälan</t>
        </is>
      </c>
      <c r="C500" t="inlineStr">
        <is>
          <t>Föryngringsavverkning</t>
        </is>
      </c>
      <c r="D500" s="1" t="n">
        <v>45076</v>
      </c>
      <c r="E500" s="1" t="n">
        <v>46272</v>
      </c>
      <c r="F500" t="inlineStr">
        <is>
          <t>KALMAR LÄN</t>
        </is>
      </c>
      <c r="G500" t="inlineStr">
        <is>
          <t>KALMAR</t>
        </is>
      </c>
      <c r="H500" t="inlineStr">
        <is>
          <t>Kommuner</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22314-2026</t>
        </is>
      </c>
      <c r="B501" t="inlineStr">
        <is>
          <t>avverkningsanmälan</t>
        </is>
      </c>
      <c r="C501" t="inlineStr">
        <is>
          <t>Föryngringsavverkning</t>
        </is>
      </c>
      <c r="D501" s="1" t="n">
        <v>46154</v>
      </c>
      <c r="E501" s="1" t="n">
        <v>46272</v>
      </c>
      <c r="F501" t="inlineStr">
        <is>
          <t>KALMAR LÄN</t>
        </is>
      </c>
      <c r="G501" t="inlineStr">
        <is>
          <t>KALMAR</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37447-2023</t>
        </is>
      </c>
      <c r="B502" t="inlineStr">
        <is>
          <t>avverkningsanmälan</t>
        </is>
      </c>
      <c r="C502" t="inlineStr">
        <is>
          <t>Föryngringsavverkning</t>
        </is>
      </c>
      <c r="D502" s="1" t="n">
        <v>45156</v>
      </c>
      <c r="E502" s="1" t="n">
        <v>46272</v>
      </c>
      <c r="F502" t="inlineStr">
        <is>
          <t>KALMAR LÄN</t>
        </is>
      </c>
      <c r="G502" t="inlineStr">
        <is>
          <t>KALMAR</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40647-2022</t>
        </is>
      </c>
      <c r="B503" t="inlineStr">
        <is>
          <t>avverkningsanmälan</t>
        </is>
      </c>
      <c r="C503" t="inlineStr">
        <is>
          <t>Föryngringsavverkning</t>
        </is>
      </c>
      <c r="D503" s="1" t="n">
        <v>44824</v>
      </c>
      <c r="E503" s="1" t="n">
        <v>46272</v>
      </c>
      <c r="F503" t="inlineStr">
        <is>
          <t>KALMAR LÄN</t>
        </is>
      </c>
      <c r="G503" t="inlineStr">
        <is>
          <t>KALMAR</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12925-2023</t>
        </is>
      </c>
      <c r="B504" t="inlineStr">
        <is>
          <t>avverkningsanmälan</t>
        </is>
      </c>
      <c r="C504" t="inlineStr">
        <is>
          <t>Föryngringsavverkning</t>
        </is>
      </c>
      <c r="D504" s="1" t="n">
        <v>45001</v>
      </c>
      <c r="E504" s="1" t="n">
        <v>46272</v>
      </c>
      <c r="F504" t="inlineStr">
        <is>
          <t>KALMAR LÄN</t>
        </is>
      </c>
      <c r="G504" t="inlineStr">
        <is>
          <t>KALMAR</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15246-2022</t>
        </is>
      </c>
      <c r="B505" t="inlineStr">
        <is>
          <t>avverkningsanmälan</t>
        </is>
      </c>
      <c r="C505" t="inlineStr">
        <is>
          <t>Föryngringsavverkning</t>
        </is>
      </c>
      <c r="D505" s="1" t="n">
        <v>44658</v>
      </c>
      <c r="E505" s="1" t="n">
        <v>46272</v>
      </c>
      <c r="F505" t="inlineStr">
        <is>
          <t>KALMAR LÄN</t>
        </is>
      </c>
      <c r="G505" t="inlineStr">
        <is>
          <t>KALMAR</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34205-2026</t>
        </is>
      </c>
      <c r="B506" t="inlineStr">
        <is>
          <t>avverkningsanmälan</t>
        </is>
      </c>
      <c r="C506" t="inlineStr">
        <is>
          <t>Föryngringsavverkning</t>
        </is>
      </c>
      <c r="D506" s="1" t="n">
        <v>46253</v>
      </c>
      <c r="E506" s="1" t="n">
        <v>46272</v>
      </c>
      <c r="F506" t="inlineStr">
        <is>
          <t>KALMAR LÄN</t>
        </is>
      </c>
      <c r="G506" t="inlineStr">
        <is>
          <t>KALMAR</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31334-2023</t>
        </is>
      </c>
      <c r="B507" t="inlineStr">
        <is>
          <t>avverkningsanmälan</t>
        </is>
      </c>
      <c r="C507" t="inlineStr">
        <is>
          <t>Föryngringsavverkning</t>
        </is>
      </c>
      <c r="D507" s="1" t="n">
        <v>45114</v>
      </c>
      <c r="E507" s="1" t="n">
        <v>46272</v>
      </c>
      <c r="F507" t="inlineStr">
        <is>
          <t>KALMAR LÄN</t>
        </is>
      </c>
      <c r="G507" t="inlineStr">
        <is>
          <t>KALMAR</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34200-2026</t>
        </is>
      </c>
      <c r="B508" t="inlineStr">
        <is>
          <t>avverkningsanmälan</t>
        </is>
      </c>
      <c r="C508" t="inlineStr">
        <is>
          <t>Föryngringsavverkning</t>
        </is>
      </c>
      <c r="D508" s="1" t="n">
        <v>46253</v>
      </c>
      <c r="E508" s="1" t="n">
        <v>46272</v>
      </c>
      <c r="F508" t="inlineStr">
        <is>
          <t>KALMAR LÄN</t>
        </is>
      </c>
      <c r="G508" t="inlineStr">
        <is>
          <t>KALMAR</t>
        </is>
      </c>
      <c r="I508" t="n">
        <v>6.7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53196-2023</t>
        </is>
      </c>
      <c r="B509" t="inlineStr">
        <is>
          <t>avverkningsanmälan</t>
        </is>
      </c>
      <c r="C509" t="inlineStr">
        <is>
          <t>Föryngringsavverkning</t>
        </is>
      </c>
      <c r="D509" s="1" t="n">
        <v>45229</v>
      </c>
      <c r="E509" s="1" t="n">
        <v>46272</v>
      </c>
      <c r="F509" t="inlineStr">
        <is>
          <t>KALMAR LÄN</t>
        </is>
      </c>
      <c r="G509" t="inlineStr">
        <is>
          <t>KALMAR</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62455-2022</t>
        </is>
      </c>
      <c r="B510" t="inlineStr">
        <is>
          <t>avverkningsanmälan</t>
        </is>
      </c>
      <c r="C510" t="inlineStr">
        <is>
          <t>Föryngringsavverkning</t>
        </is>
      </c>
      <c r="D510" s="1" t="n">
        <v>44924</v>
      </c>
      <c r="E510" s="1" t="n">
        <v>46272</v>
      </c>
      <c r="F510" t="inlineStr">
        <is>
          <t>KALMAR LÄN</t>
        </is>
      </c>
      <c r="G510" t="inlineStr">
        <is>
          <t>KALMAR</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32190-2023</t>
        </is>
      </c>
      <c r="B511" t="inlineStr">
        <is>
          <t>avverkningsanmälan</t>
        </is>
      </c>
      <c r="C511" t="inlineStr">
        <is>
          <t>Föryngringsavverkning</t>
        </is>
      </c>
      <c r="D511" s="1" t="n">
        <v>45119</v>
      </c>
      <c r="E511" s="1" t="n">
        <v>46272</v>
      </c>
      <c r="F511" t="inlineStr">
        <is>
          <t>KALMAR LÄN</t>
        </is>
      </c>
      <c r="G511" t="inlineStr">
        <is>
          <t>KALMAR</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34372-2026</t>
        </is>
      </c>
      <c r="B512" t="inlineStr">
        <is>
          <t>avverkningsanmälan</t>
        </is>
      </c>
      <c r="C512" t="inlineStr">
        <is>
          <t>Föryngringsavverkning</t>
        </is>
      </c>
      <c r="D512" s="1" t="n">
        <v>46254</v>
      </c>
      <c r="E512" s="1" t="n">
        <v>46272</v>
      </c>
      <c r="F512" t="inlineStr">
        <is>
          <t>KALMAR LÄN</t>
        </is>
      </c>
      <c r="G512" t="inlineStr">
        <is>
          <t>KALMAR</t>
        </is>
      </c>
      <c r="H512" t="inlineStr">
        <is>
          <t>Sveaskog</t>
        </is>
      </c>
      <c r="I512" t="n">
        <v>14.4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48337-2022</t>
        </is>
      </c>
      <c r="B513" t="inlineStr">
        <is>
          <t>avverkningsanmälan</t>
        </is>
      </c>
      <c r="C513" t="inlineStr">
        <is>
          <t>Föryngringsavverkning</t>
        </is>
      </c>
      <c r="D513" s="1" t="n">
        <v>44858</v>
      </c>
      <c r="E513" s="1" t="n">
        <v>46272</v>
      </c>
      <c r="F513" t="inlineStr">
        <is>
          <t>KALMAR LÄN</t>
        </is>
      </c>
      <c r="G513" t="inlineStr">
        <is>
          <t>KALMAR</t>
        </is>
      </c>
      <c r="I513" t="n">
        <v>5.4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42655-2023</t>
        </is>
      </c>
      <c r="B514" t="inlineStr">
        <is>
          <t>avverkningsanmälan</t>
        </is>
      </c>
      <c r="C514" t="inlineStr">
        <is>
          <t>Föryngringsavverkning</t>
        </is>
      </c>
      <c r="D514" s="1" t="n">
        <v>45181</v>
      </c>
      <c r="E514" s="1" t="n">
        <v>46272</v>
      </c>
      <c r="F514" t="inlineStr">
        <is>
          <t>KALMAR LÄN</t>
        </is>
      </c>
      <c r="G514" t="inlineStr">
        <is>
          <t>KALMAR</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20611-2025</t>
        </is>
      </c>
      <c r="B515" t="inlineStr">
        <is>
          <t>avverkningsanmälan</t>
        </is>
      </c>
      <c r="C515" t="inlineStr">
        <is>
          <t>Föryngringsavverkning</t>
        </is>
      </c>
      <c r="D515" s="1" t="n">
        <v>45775</v>
      </c>
      <c r="E515" s="1" t="n">
        <v>46272</v>
      </c>
      <c r="F515" t="inlineStr">
        <is>
          <t>KALMAR LÄN</t>
        </is>
      </c>
      <c r="G515" t="inlineStr">
        <is>
          <t>KALMAR</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40814-2024</t>
        </is>
      </c>
      <c r="B516" t="inlineStr">
        <is>
          <t>avverkningsanmälan</t>
        </is>
      </c>
      <c r="C516" t="inlineStr">
        <is>
          <t>Avverkning för att bevara och utveckla /försöksver</t>
        </is>
      </c>
      <c r="D516" s="1" t="n">
        <v>45558</v>
      </c>
      <c r="E516" s="1" t="n">
        <v>46272</v>
      </c>
      <c r="F516" t="inlineStr">
        <is>
          <t>KALMAR LÄN</t>
        </is>
      </c>
      <c r="G516" t="inlineStr">
        <is>
          <t>KALMAR</t>
        </is>
      </c>
      <c r="H516" t="inlineStr">
        <is>
          <t>Sveaskog</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20913-2024</t>
        </is>
      </c>
      <c r="B517" t="inlineStr">
        <is>
          <t>avverkningsanmälan</t>
        </is>
      </c>
      <c r="C517" t="inlineStr">
        <is>
          <t>Föryngringsavverkning</t>
        </is>
      </c>
      <c r="D517" s="1" t="n">
        <v>45439</v>
      </c>
      <c r="E517" s="1" t="n">
        <v>46272</v>
      </c>
      <c r="F517" t="inlineStr">
        <is>
          <t>KALMAR LÄN</t>
        </is>
      </c>
      <c r="G517" t="inlineStr">
        <is>
          <t>KALMAR</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21964-2024</t>
        </is>
      </c>
      <c r="B518" t="inlineStr">
        <is>
          <t>avverkningsanmälan</t>
        </is>
      </c>
      <c r="C518" t="inlineStr">
        <is>
          <t>Föryngringsavverkning</t>
        </is>
      </c>
      <c r="D518" s="1" t="n">
        <v>45443</v>
      </c>
      <c r="E518" s="1" t="n">
        <v>46272</v>
      </c>
      <c r="F518" t="inlineStr">
        <is>
          <t>KALMAR LÄN</t>
        </is>
      </c>
      <c r="G518" t="inlineStr">
        <is>
          <t>KALMAR</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39350-2024</t>
        </is>
      </c>
      <c r="B519" t="inlineStr">
        <is>
          <t>avverkningsanmälan</t>
        </is>
      </c>
      <c r="C519" t="inlineStr">
        <is>
          <t>Föryngringsavverkning</t>
        </is>
      </c>
      <c r="D519" s="1" t="n">
        <v>45551</v>
      </c>
      <c r="E519" s="1" t="n">
        <v>46272</v>
      </c>
      <c r="F519" t="inlineStr">
        <is>
          <t>KALMAR LÄN</t>
        </is>
      </c>
      <c r="G519" t="inlineStr">
        <is>
          <t>KALMAR</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57626-2023</t>
        </is>
      </c>
      <c r="B520" t="inlineStr">
        <is>
          <t>avverkningsanmälan</t>
        </is>
      </c>
      <c r="C520" t="inlineStr">
        <is>
          <t>Föryngringsavverkning</t>
        </is>
      </c>
      <c r="D520" s="1" t="n">
        <v>45246</v>
      </c>
      <c r="E520" s="1" t="n">
        <v>46272</v>
      </c>
      <c r="F520" t="inlineStr">
        <is>
          <t>KALMAR LÄN</t>
        </is>
      </c>
      <c r="G520" t="inlineStr">
        <is>
          <t>KALMAR</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21471-2025</t>
        </is>
      </c>
      <c r="B521" t="inlineStr">
        <is>
          <t>avverkningsanmälan</t>
        </is>
      </c>
      <c r="C521" t="inlineStr">
        <is>
          <t>Föryngringsavverkning</t>
        </is>
      </c>
      <c r="D521" s="1" t="n">
        <v>45782</v>
      </c>
      <c r="E521" s="1" t="n">
        <v>46272</v>
      </c>
      <c r="F521" t="inlineStr">
        <is>
          <t>KALMAR LÄN</t>
        </is>
      </c>
      <c r="G521" t="inlineStr">
        <is>
          <t>KALMAR</t>
        </is>
      </c>
      <c r="H521" t="inlineStr">
        <is>
          <t>Sveaskog</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30781-2026</t>
        </is>
      </c>
      <c r="B522" t="inlineStr">
        <is>
          <t>avverkningsanmälan</t>
        </is>
      </c>
      <c r="C522" t="inlineStr">
        <is>
          <t>Föryngringsavverkning</t>
        </is>
      </c>
      <c r="D522" s="1" t="n">
        <v>46212</v>
      </c>
      <c r="E522" s="1" t="n">
        <v>46272</v>
      </c>
      <c r="F522" t="inlineStr">
        <is>
          <t>KALMAR LÄN</t>
        </is>
      </c>
      <c r="G522" t="inlineStr">
        <is>
          <t>KALMAR</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34375-2026</t>
        </is>
      </c>
      <c r="B523" t="inlineStr">
        <is>
          <t>avverkningsanmälan</t>
        </is>
      </c>
      <c r="C523" t="inlineStr">
        <is>
          <t>Föryngringsavverkning</t>
        </is>
      </c>
      <c r="D523" s="1" t="n">
        <v>46254</v>
      </c>
      <c r="E523" s="1" t="n">
        <v>46272</v>
      </c>
      <c r="F523" t="inlineStr">
        <is>
          <t>KALMAR LÄN</t>
        </is>
      </c>
      <c r="G523" t="inlineStr">
        <is>
          <t>KALMAR</t>
        </is>
      </c>
      <c r="H523" t="inlineStr">
        <is>
          <t>Sveaskog</t>
        </is>
      </c>
      <c r="I523" t="n">
        <v>12.3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22171-2025</t>
        </is>
      </c>
      <c r="B524" t="inlineStr">
        <is>
          <t>avverkningsanmälan</t>
        </is>
      </c>
      <c r="C524" t="inlineStr">
        <is>
          <t>Avverkning för annat ändamål</t>
        </is>
      </c>
      <c r="D524" s="1" t="n">
        <v>45785</v>
      </c>
      <c r="E524" s="1" t="n">
        <v>46272</v>
      </c>
      <c r="F524" t="inlineStr">
        <is>
          <t>KALMAR LÄN</t>
        </is>
      </c>
      <c r="G524" t="inlineStr">
        <is>
          <t>KALMAR</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35046-2026</t>
        </is>
      </c>
      <c r="B525" t="inlineStr">
        <is>
          <t>avverkningsanmälan</t>
        </is>
      </c>
      <c r="C525" t="inlineStr">
        <is>
          <t>Föryngringsavverkning</t>
        </is>
      </c>
      <c r="D525" s="1" t="n">
        <v>46259</v>
      </c>
      <c r="E525" s="1" t="n">
        <v>46272</v>
      </c>
      <c r="F525" t="inlineStr">
        <is>
          <t>KALMAR LÄN</t>
        </is>
      </c>
      <c r="G525" t="inlineStr">
        <is>
          <t>KALMAR</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592-2025</t>
        </is>
      </c>
      <c r="B526" t="inlineStr">
        <is>
          <t>avverkningsanmälan</t>
        </is>
      </c>
      <c r="C526" t="inlineStr">
        <is>
          <t>Föryngringsavverkning</t>
        </is>
      </c>
      <c r="D526" s="1" t="n">
        <v>45664</v>
      </c>
      <c r="E526" s="1" t="n">
        <v>46272</v>
      </c>
      <c r="F526" t="inlineStr">
        <is>
          <t>KALMAR LÄN</t>
        </is>
      </c>
      <c r="G526" t="inlineStr">
        <is>
          <t>KALMAR</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459-2025</t>
        </is>
      </c>
      <c r="B527" t="inlineStr">
        <is>
          <t>avverkningsanmälan</t>
        </is>
      </c>
      <c r="C527" t="inlineStr">
        <is>
          <t>Föryngringsavverkning</t>
        </is>
      </c>
      <c r="D527" s="1" t="n">
        <v>45664</v>
      </c>
      <c r="E527" s="1" t="n">
        <v>46272</v>
      </c>
      <c r="F527" t="inlineStr">
        <is>
          <t>KALMAR LÄN</t>
        </is>
      </c>
      <c r="G527" t="inlineStr">
        <is>
          <t>KALMAR</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42697-2024</t>
        </is>
      </c>
      <c r="B528" t="inlineStr">
        <is>
          <t>avverkningsanmälan</t>
        </is>
      </c>
      <c r="C528" t="inlineStr">
        <is>
          <t>Avverkning för att bevara och utveckla /försöksver</t>
        </is>
      </c>
      <c r="D528" s="1" t="n">
        <v>45566</v>
      </c>
      <c r="E528" s="1" t="n">
        <v>46272</v>
      </c>
      <c r="F528" t="inlineStr">
        <is>
          <t>KALMAR LÄN</t>
        </is>
      </c>
      <c r="G528" t="inlineStr">
        <is>
          <t>KALMAR</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12389-2025</t>
        </is>
      </c>
      <c r="B529" t="inlineStr">
        <is>
          <t>avverkningsanmälan</t>
        </is>
      </c>
      <c r="C529" t="inlineStr">
        <is>
          <t>Föryngringsavverkning</t>
        </is>
      </c>
      <c r="D529" s="1" t="n">
        <v>45730</v>
      </c>
      <c r="E529" s="1" t="n">
        <v>46272</v>
      </c>
      <c r="F529" t="inlineStr">
        <is>
          <t>KALMAR LÄN</t>
        </is>
      </c>
      <c r="G529" t="inlineStr">
        <is>
          <t>KALMAR</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9877-2024</t>
        </is>
      </c>
      <c r="B530" t="inlineStr">
        <is>
          <t>avverkningsanmälan</t>
        </is>
      </c>
      <c r="C530" t="inlineStr">
        <is>
          <t>Föryngringsavverkning</t>
        </is>
      </c>
      <c r="D530" s="1" t="n">
        <v>45363</v>
      </c>
      <c r="E530" s="1" t="n">
        <v>46272</v>
      </c>
      <c r="F530" t="inlineStr">
        <is>
          <t>KALMAR LÄN</t>
        </is>
      </c>
      <c r="G530" t="inlineStr">
        <is>
          <t>KALMAR</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7931-2026</t>
        </is>
      </c>
      <c r="B531" t="inlineStr">
        <is>
          <t>avverkningsanmälan</t>
        </is>
      </c>
      <c r="C531" t="inlineStr">
        <is>
          <t>Föryngringsavverkning</t>
        </is>
      </c>
      <c r="D531" s="1" t="n">
        <v>46063</v>
      </c>
      <c r="E531" s="1" t="n">
        <v>46272</v>
      </c>
      <c r="F531" t="inlineStr">
        <is>
          <t>KALMAR LÄN</t>
        </is>
      </c>
      <c r="G531" t="inlineStr">
        <is>
          <t>KALMAR</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23187-2025</t>
        </is>
      </c>
      <c r="B532" t="inlineStr">
        <is>
          <t>avverkningsanmälan</t>
        </is>
      </c>
      <c r="C532" t="inlineStr">
        <is>
          <t>Föryngringsavverkning</t>
        </is>
      </c>
      <c r="D532" s="1" t="n">
        <v>45791</v>
      </c>
      <c r="E532" s="1" t="n">
        <v>46272</v>
      </c>
      <c r="F532" t="inlineStr">
        <is>
          <t>KALMAR LÄN</t>
        </is>
      </c>
      <c r="G532" t="inlineStr">
        <is>
          <t>KALMAR</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23565-2025</t>
        </is>
      </c>
      <c r="B533" t="inlineStr">
        <is>
          <t>avverkningsanmälan</t>
        </is>
      </c>
      <c r="C533" t="inlineStr">
        <is>
          <t>Föryngringsavverkning</t>
        </is>
      </c>
      <c r="D533" s="1" t="n">
        <v>45792</v>
      </c>
      <c r="E533" s="1" t="n">
        <v>46272</v>
      </c>
      <c r="F533" t="inlineStr">
        <is>
          <t>KALMAR LÄN</t>
        </is>
      </c>
      <c r="G533" t="inlineStr">
        <is>
          <t>KALMAR</t>
        </is>
      </c>
      <c r="H533" t="inlineStr">
        <is>
          <t>Sveaskog</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16395-2026</t>
        </is>
      </c>
      <c r="B534" t="inlineStr">
        <is>
          <t>avverkningsanmälan</t>
        </is>
      </c>
      <c r="C534" t="inlineStr">
        <is>
          <t>Föryngringsavverkning</t>
        </is>
      </c>
      <c r="D534" s="1" t="n">
        <v>46111</v>
      </c>
      <c r="E534" s="1" t="n">
        <v>46272</v>
      </c>
      <c r="F534" t="inlineStr">
        <is>
          <t>KALMAR LÄN</t>
        </is>
      </c>
      <c r="G534" t="inlineStr">
        <is>
          <t>KALMAR</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31507-2026</t>
        </is>
      </c>
      <c r="B535" t="inlineStr">
        <is>
          <t>avverkningsanmälan</t>
        </is>
      </c>
      <c r="C535" t="inlineStr">
        <is>
          <t>Föryngringsavverkning</t>
        </is>
      </c>
      <c r="D535" s="1" t="n">
        <v>46223</v>
      </c>
      <c r="E535" s="1" t="n">
        <v>46272</v>
      </c>
      <c r="F535" t="inlineStr">
        <is>
          <t>KALMAR LÄN</t>
        </is>
      </c>
      <c r="G535" t="inlineStr">
        <is>
          <t>KALMAR</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36603-2026</t>
        </is>
      </c>
      <c r="B536" t="inlineStr">
        <is>
          <t>avverkningsanmälan</t>
        </is>
      </c>
      <c r="C536" t="inlineStr">
        <is>
          <t>Föryngringsavverkning</t>
        </is>
      </c>
      <c r="D536" s="1" t="n">
        <v>46269</v>
      </c>
      <c r="E536" s="1" t="n">
        <v>46272</v>
      </c>
      <c r="F536" t="inlineStr">
        <is>
          <t>KALMAR LÄN</t>
        </is>
      </c>
      <c r="G536" t="inlineStr">
        <is>
          <t>KALMAR</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1061-2024</t>
        </is>
      </c>
      <c r="B537" t="inlineStr">
        <is>
          <t>samrådsanmälan</t>
        </is>
      </c>
      <c r="C537" t="inlineStr">
        <is>
          <t>Askåterföring</t>
        </is>
      </c>
      <c r="D537" s="1" t="n">
        <v>45387</v>
      </c>
      <c r="E537" s="1" t="n">
        <v>46272</v>
      </c>
      <c r="F537" t="inlineStr">
        <is>
          <t>KALMAR LÄN</t>
        </is>
      </c>
      <c r="G537" t="inlineStr">
        <is>
          <t>KALMAR</t>
        </is>
      </c>
      <c r="I537" t="n">
        <v>11.8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869-2024</t>
        </is>
      </c>
      <c r="B538" t="inlineStr">
        <is>
          <t>samrådsanmälan</t>
        </is>
      </c>
      <c r="C538" t="inlineStr">
        <is>
          <t>Askåterföring</t>
        </is>
      </c>
      <c r="D538" s="1" t="n">
        <v>45373</v>
      </c>
      <c r="E538" s="1" t="n">
        <v>46272</v>
      </c>
      <c r="F538" t="inlineStr">
        <is>
          <t>KALMAR LÄN</t>
        </is>
      </c>
      <c r="G538" t="inlineStr">
        <is>
          <t>KALMAR</t>
        </is>
      </c>
      <c r="I538" t="n">
        <v>6.6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516-2024</t>
        </is>
      </c>
      <c r="B539" t="inlineStr">
        <is>
          <t>samrådsanmälan</t>
        </is>
      </c>
      <c r="C539" t="inlineStr">
        <is>
          <t>Askåterföring</t>
        </is>
      </c>
      <c r="D539" s="1" t="n">
        <v>45345</v>
      </c>
      <c r="E539" s="1" t="n">
        <v>46272</v>
      </c>
      <c r="F539" t="inlineStr">
        <is>
          <t>KALMAR LÄN</t>
        </is>
      </c>
      <c r="G539" t="inlineStr">
        <is>
          <t>KALMAR</t>
        </is>
      </c>
      <c r="I539" t="n">
        <v>8.1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1849-2024</t>
        </is>
      </c>
      <c r="B540" t="inlineStr">
        <is>
          <t>samrådsanmälan</t>
        </is>
      </c>
      <c r="C540" t="inlineStr">
        <is>
          <t>Askåterföring</t>
        </is>
      </c>
      <c r="D540" s="1" t="n">
        <v>45440</v>
      </c>
      <c r="E540" s="1" t="n">
        <v>46272</v>
      </c>
      <c r="F540" t="inlineStr">
        <is>
          <t>KALMAR LÄN</t>
        </is>
      </c>
      <c r="G540" t="inlineStr">
        <is>
          <t>KALMAR</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925-2022</t>
        </is>
      </c>
      <c r="B541" t="inlineStr">
        <is>
          <t>samrådsanmälan</t>
        </is>
      </c>
      <c r="C541" t="inlineStr">
        <is>
          <t>Askåterföring</t>
        </is>
      </c>
      <c r="D541" s="1" t="n">
        <v>44607</v>
      </c>
      <c r="E541" s="1" t="n">
        <v>46272</v>
      </c>
      <c r="F541" t="inlineStr">
        <is>
          <t>KALMAR LÄN</t>
        </is>
      </c>
      <c r="G541" t="inlineStr">
        <is>
          <t>KALMAR</t>
        </is>
      </c>
      <c r="I541" t="n">
        <v>11.4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4492-2024</t>
        </is>
      </c>
      <c r="B542" t="inlineStr">
        <is>
          <t>samrådsanmälan</t>
        </is>
      </c>
      <c r="C542" t="inlineStr">
        <is>
          <t>Annan skogsbruksåtgärd</t>
        </is>
      </c>
      <c r="D542" s="1" t="n">
        <v>45595</v>
      </c>
      <c r="E542" s="1" t="n">
        <v>46272</v>
      </c>
      <c r="F542" t="inlineStr">
        <is>
          <t>KALMAR LÄN</t>
        </is>
      </c>
      <c r="G542" t="inlineStr">
        <is>
          <t>KALMAR</t>
        </is>
      </c>
      <c r="I542" t="n">
        <v>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456-2022</t>
        </is>
      </c>
      <c r="B543" t="inlineStr">
        <is>
          <t>samrådsanmälan</t>
        </is>
      </c>
      <c r="C543" t="inlineStr">
        <is>
          <t>Askåterföring</t>
        </is>
      </c>
      <c r="D543" s="1" t="n">
        <v>44587</v>
      </c>
      <c r="E543" s="1" t="n">
        <v>46272</v>
      </c>
      <c r="F543" t="inlineStr">
        <is>
          <t>KALMAR LÄN</t>
        </is>
      </c>
      <c r="G543" t="inlineStr">
        <is>
          <t>KALMAR</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4867-2022</t>
        </is>
      </c>
      <c r="B544" t="inlineStr">
        <is>
          <t>samrådsanmälan</t>
        </is>
      </c>
      <c r="C544" t="inlineStr">
        <is>
          <t>Skogsbilväg</t>
        </is>
      </c>
      <c r="D544" s="1" t="n">
        <v>44806</v>
      </c>
      <c r="E544" s="1" t="n">
        <v>46272</v>
      </c>
      <c r="F544" t="inlineStr">
        <is>
          <t>KALMAR LÄN</t>
        </is>
      </c>
      <c r="G544" t="inlineStr">
        <is>
          <t>KALMAR</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491-2023</t>
        </is>
      </c>
      <c r="B545" t="inlineStr">
        <is>
          <t>samrådsanmälan</t>
        </is>
      </c>
      <c r="C545" t="inlineStr">
        <is>
          <t>Askåterföring</t>
        </is>
      </c>
      <c r="D545" s="1" t="n">
        <v>44965</v>
      </c>
      <c r="E545" s="1" t="n">
        <v>46272</v>
      </c>
      <c r="F545" t="inlineStr">
        <is>
          <t>KALMAR LÄN</t>
        </is>
      </c>
      <c r="G545" t="inlineStr">
        <is>
          <t>KALMAR</t>
        </is>
      </c>
      <c r="I545" t="n">
        <v>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9880-2021</t>
        </is>
      </c>
      <c r="B546" t="inlineStr">
        <is>
          <t>samrådsanmälan</t>
        </is>
      </c>
      <c r="C546" t="inlineStr">
        <is>
          <t>Annan skogsbruksåtgärd</t>
        </is>
      </c>
      <c r="D546" s="1" t="n">
        <v>44531</v>
      </c>
      <c r="E546" s="1" t="n">
        <v>46272</v>
      </c>
      <c r="F546" t="inlineStr">
        <is>
          <t>KALMAR LÄN</t>
        </is>
      </c>
      <c r="G546" t="inlineStr">
        <is>
          <t>KALMAR</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339-2023</t>
        </is>
      </c>
      <c r="B547" t="inlineStr">
        <is>
          <t>samrådsanmälan</t>
        </is>
      </c>
      <c r="C547" t="inlineStr">
        <is>
          <t>Askåterföring</t>
        </is>
      </c>
      <c r="D547" s="1" t="n">
        <v>44957</v>
      </c>
      <c r="E547" s="1" t="n">
        <v>46272</v>
      </c>
      <c r="F547" t="inlineStr">
        <is>
          <t>KALMAR LÄN</t>
        </is>
      </c>
      <c r="G547" t="inlineStr">
        <is>
          <t>KALMAR</t>
        </is>
      </c>
      <c r="I547" t="n">
        <v>10.8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515-2024</t>
        </is>
      </c>
      <c r="B548" t="inlineStr">
        <is>
          <t>samrådsanmälan</t>
        </is>
      </c>
      <c r="C548" t="inlineStr">
        <is>
          <t>Askåterföring</t>
        </is>
      </c>
      <c r="D548" s="1" t="n">
        <v>45345</v>
      </c>
      <c r="E548" s="1" t="n">
        <v>46272</v>
      </c>
      <c r="F548" t="inlineStr">
        <is>
          <t>KALMAR LÄN</t>
        </is>
      </c>
      <c r="G548" t="inlineStr">
        <is>
          <t>KALMAR</t>
        </is>
      </c>
      <c r="I548" t="n">
        <v>8.9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517-2024</t>
        </is>
      </c>
      <c r="B549" t="inlineStr">
        <is>
          <t>samrådsanmälan</t>
        </is>
      </c>
      <c r="C549" t="inlineStr">
        <is>
          <t>Askåterföring</t>
        </is>
      </c>
      <c r="D549" s="1" t="n">
        <v>45345</v>
      </c>
      <c r="E549" s="1" t="n">
        <v>46272</v>
      </c>
      <c r="F549" t="inlineStr">
        <is>
          <t>KALMAR LÄN</t>
        </is>
      </c>
      <c r="G549" t="inlineStr">
        <is>
          <t>KALMAR</t>
        </is>
      </c>
      <c r="I549" t="n">
        <v>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275-2025</t>
        </is>
      </c>
      <c r="B550" t="inlineStr">
        <is>
          <t>samrådsanmälan</t>
        </is>
      </c>
      <c r="C550" t="inlineStr">
        <is>
          <t>Askåterföring</t>
        </is>
      </c>
      <c r="D550" s="1" t="n">
        <v>45685</v>
      </c>
      <c r="E550" s="1" t="n">
        <v>46272</v>
      </c>
      <c r="F550" t="inlineStr">
        <is>
          <t>KALMAR LÄN</t>
        </is>
      </c>
      <c r="G550" t="inlineStr">
        <is>
          <t>KALMAR</t>
        </is>
      </c>
      <c r="I550" t="n">
        <v>31.2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673-2024</t>
        </is>
      </c>
      <c r="B551" t="inlineStr">
        <is>
          <t>samrådsanmälan</t>
        </is>
      </c>
      <c r="C551" t="inlineStr">
        <is>
          <t>Askåterföring</t>
        </is>
      </c>
      <c r="D551" s="1" t="n">
        <v>45358</v>
      </c>
      <c r="E551" s="1" t="n">
        <v>46272</v>
      </c>
      <c r="F551" t="inlineStr">
        <is>
          <t>KALMAR LÄN</t>
        </is>
      </c>
      <c r="G551" t="inlineStr">
        <is>
          <t>KALMAR</t>
        </is>
      </c>
      <c r="I551" t="n">
        <v>36.7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315-2023</t>
        </is>
      </c>
      <c r="B552" t="inlineStr">
        <is>
          <t>samrådsanmälan</t>
        </is>
      </c>
      <c r="C552" t="inlineStr">
        <is>
          <t>Askåterföring</t>
        </is>
      </c>
      <c r="D552" s="1" t="n">
        <v>44957</v>
      </c>
      <c r="E552" s="1" t="n">
        <v>46272</v>
      </c>
      <c r="F552" t="inlineStr">
        <is>
          <t>KALMAR LÄN</t>
        </is>
      </c>
      <c r="G552" t="inlineStr">
        <is>
          <t>KALMAR</t>
        </is>
      </c>
      <c r="I552" t="n">
        <v>11.7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1880-2025</t>
        </is>
      </c>
      <c r="B553" t="inlineStr">
        <is>
          <t>samrådsanmälan</t>
        </is>
      </c>
      <c r="C553" t="inlineStr">
        <is>
          <t>Annan skogsbruksåtgärd</t>
        </is>
      </c>
      <c r="D553" s="1" t="n">
        <v>45824</v>
      </c>
      <c r="E553" s="1" t="n">
        <v>46272</v>
      </c>
      <c r="F553" t="inlineStr">
        <is>
          <t>KALMAR LÄN</t>
        </is>
      </c>
      <c r="G553" t="inlineStr">
        <is>
          <t>KALMAR</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1854-2020</t>
        </is>
      </c>
      <c r="B554" t="inlineStr">
        <is>
          <t>samrådsanmälan</t>
        </is>
      </c>
      <c r="C554" t="inlineStr">
        <is>
          <t>Åtgärd i nyckelbiotop</t>
        </is>
      </c>
      <c r="D554" s="1" t="n">
        <v>44071</v>
      </c>
      <c r="E554" s="1" t="n">
        <v>46272</v>
      </c>
      <c r="F554" t="inlineStr">
        <is>
          <t>KALMAR LÄN</t>
        </is>
      </c>
      <c r="G554" t="inlineStr">
        <is>
          <t>KALMAR</t>
        </is>
      </c>
      <c r="I554" t="n">
        <v>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2370-2025</t>
        </is>
      </c>
      <c r="B555" t="inlineStr">
        <is>
          <t>samrådsanmälan</t>
        </is>
      </c>
      <c r="C555" t="inlineStr">
        <is>
          <t>Askåterföring</t>
        </is>
      </c>
      <c r="D555" s="1" t="n">
        <v>45890</v>
      </c>
      <c r="E555" s="1" t="n">
        <v>46272</v>
      </c>
      <c r="F555" t="inlineStr">
        <is>
          <t>KALMAR LÄN</t>
        </is>
      </c>
      <c r="G555" t="inlineStr">
        <is>
          <t>KALMAR</t>
        </is>
      </c>
      <c r="I555" t="n">
        <v>11.1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2494-2025</t>
        </is>
      </c>
      <c r="B556" t="inlineStr">
        <is>
          <t>samrådsanmälan</t>
        </is>
      </c>
      <c r="C556" t="inlineStr">
        <is>
          <t>Askåterföring</t>
        </is>
      </c>
      <c r="D556" s="1" t="n">
        <v>45902</v>
      </c>
      <c r="E556" s="1" t="n">
        <v>46272</v>
      </c>
      <c r="F556" t="inlineStr">
        <is>
          <t>KALMAR LÄN</t>
        </is>
      </c>
      <c r="G556" t="inlineStr">
        <is>
          <t>KALMAR</t>
        </is>
      </c>
      <c r="I556" t="n">
        <v>30.8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300-2026</t>
        </is>
      </c>
      <c r="B557" t="inlineStr">
        <is>
          <t>samrådsanmälan</t>
        </is>
      </c>
      <c r="C557" t="inlineStr">
        <is>
          <t>Askåterföring</t>
        </is>
      </c>
      <c r="D557" s="1" t="n">
        <v>46058</v>
      </c>
      <c r="E557" s="1" t="n">
        <v>46272</v>
      </c>
      <c r="F557" t="inlineStr">
        <is>
          <t>KALMAR LÄN</t>
        </is>
      </c>
      <c r="G557" t="inlineStr">
        <is>
          <t>KALMAR</t>
        </is>
      </c>
      <c r="I557" t="n">
        <v>11.7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334-2026</t>
        </is>
      </c>
      <c r="B558" t="inlineStr">
        <is>
          <t>samrådsanmälan</t>
        </is>
      </c>
      <c r="C558" t="inlineStr">
        <is>
          <t>Askåterföring</t>
        </is>
      </c>
      <c r="D558" s="1" t="n">
        <v>46062</v>
      </c>
      <c r="E558" s="1" t="n">
        <v>46272</v>
      </c>
      <c r="F558" t="inlineStr">
        <is>
          <t>KALMAR LÄN</t>
        </is>
      </c>
      <c r="G558" t="inlineStr">
        <is>
          <t>KALMAR</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335-2026</t>
        </is>
      </c>
      <c r="B559" t="inlineStr">
        <is>
          <t>samrådsanmälan</t>
        </is>
      </c>
      <c r="C559" t="inlineStr">
        <is>
          <t>Askåterföring</t>
        </is>
      </c>
      <c r="D559" s="1" t="n">
        <v>46062</v>
      </c>
      <c r="E559" s="1" t="n">
        <v>46272</v>
      </c>
      <c r="F559" t="inlineStr">
        <is>
          <t>KALMAR LÄN</t>
        </is>
      </c>
      <c r="G559" t="inlineStr">
        <is>
          <t>KALMAR</t>
        </is>
      </c>
      <c r="I559" t="n">
        <v>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341-2026</t>
        </is>
      </c>
      <c r="B560" t="inlineStr">
        <is>
          <t>samrådsanmälan</t>
        </is>
      </c>
      <c r="C560" t="inlineStr">
        <is>
          <t>Askåterföring</t>
        </is>
      </c>
      <c r="D560" s="1" t="n">
        <v>46063</v>
      </c>
      <c r="E560" s="1" t="n">
        <v>46272</v>
      </c>
      <c r="F560" t="inlineStr">
        <is>
          <t>KALMAR LÄN</t>
        </is>
      </c>
      <c r="G560" t="inlineStr">
        <is>
          <t>KALMAR</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336-2026</t>
        </is>
      </c>
      <c r="B561" t="inlineStr">
        <is>
          <t>samrådsanmälan</t>
        </is>
      </c>
      <c r="C561" t="inlineStr">
        <is>
          <t>Askåterföring</t>
        </is>
      </c>
      <c r="D561" s="1" t="n">
        <v>46062</v>
      </c>
      <c r="E561" s="1" t="n">
        <v>46272</v>
      </c>
      <c r="F561" t="inlineStr">
        <is>
          <t>KALMAR LÄN</t>
        </is>
      </c>
      <c r="G561" t="inlineStr">
        <is>
          <t>KALMAR</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333-2026</t>
        </is>
      </c>
      <c r="B562" t="inlineStr">
        <is>
          <t>samrådsanmälan</t>
        </is>
      </c>
      <c r="C562" t="inlineStr">
        <is>
          <t>Askåterföring</t>
        </is>
      </c>
      <c r="D562" s="1" t="n">
        <v>46062</v>
      </c>
      <c r="E562" s="1" t="n">
        <v>46272</v>
      </c>
      <c r="F562" t="inlineStr">
        <is>
          <t>KALMAR LÄN</t>
        </is>
      </c>
      <c r="G562" t="inlineStr">
        <is>
          <t>KALMAR</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376-2026</t>
        </is>
      </c>
      <c r="B563" t="inlineStr">
        <is>
          <t>samrådsanmälan</t>
        </is>
      </c>
      <c r="C563" t="inlineStr">
        <is>
          <t>Askåterföring</t>
        </is>
      </c>
      <c r="D563" s="1" t="n">
        <v>46065</v>
      </c>
      <c r="E563" s="1" t="n">
        <v>46272</v>
      </c>
      <c r="F563" t="inlineStr">
        <is>
          <t>KALMAR LÄN</t>
        </is>
      </c>
      <c r="G563" t="inlineStr">
        <is>
          <t>KALMAR</t>
        </is>
      </c>
      <c r="I563" t="n">
        <v>16.8</v>
      </c>
      <c r="J563" t="n">
        <v>0</v>
      </c>
      <c r="K563" t="n">
        <v>0</v>
      </c>
      <c r="L563" t="n">
        <v>0</v>
      </c>
      <c r="M563" t="n">
        <v>0</v>
      </c>
      <c r="N563" t="n">
        <v>0</v>
      </c>
      <c r="O563" t="n">
        <v>0</v>
      </c>
      <c r="P563" t="n">
        <v>0</v>
      </c>
      <c r="Q563" t="n">
        <v>0</v>
      </c>
      <c r="R563" t="n">
        <v>0</v>
      </c>
      <c r="S563" t="n">
        <v>0</v>
      </c>
      <c r="T563" t="n">
        <v>0</v>
      </c>
      <c r="U563" t="n">
        <v>0</v>
      </c>
      <c r="V563" s="2" t="inlineStr"/>
    </row>
    <row r="564">
      <c r="A564" t="inlineStr">
        <is>
          <t>S 909-2026</t>
        </is>
      </c>
      <c r="B564" t="inlineStr">
        <is>
          <t>samrådsanmälan</t>
        </is>
      </c>
      <c r="C564" t="inlineStr">
        <is>
          <t>Annan skogsbruksåtgärd</t>
        </is>
      </c>
      <c r="D564" s="1" t="n">
        <v>46110</v>
      </c>
      <c r="E564" s="1" t="n">
        <v>46272</v>
      </c>
      <c r="F564" t="inlineStr">
        <is>
          <t>KALMAR LÄN</t>
        </is>
      </c>
      <c r="G564" t="inlineStr">
        <is>
          <t>KALMAR</t>
        </is>
      </c>
      <c r="I564" t="n">
        <v>0</v>
      </c>
      <c r="J564" t="n">
        <v>0</v>
      </c>
      <c r="K564" t="n">
        <v>0</v>
      </c>
      <c r="L564" t="n">
        <v>0</v>
      </c>
      <c r="M564" t="n">
        <v>0</v>
      </c>
      <c r="N564" t="n">
        <v>0</v>
      </c>
      <c r="O564" t="n">
        <v>0</v>
      </c>
      <c r="P564" t="n">
        <v>0</v>
      </c>
      <c r="Q564" t="n">
        <v>0</v>
      </c>
      <c r="R564" t="n">
        <v>0</v>
      </c>
      <c r="S564" t="n">
        <v>0</v>
      </c>
      <c r="T564" t="n">
        <v>0</v>
      </c>
      <c r="U564" t="n">
        <v>0</v>
      </c>
      <c r="V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2026-09-07T02:06:42Z</dcterms:created>
  <dcterms:modified xmlns:dcterms="http://purl.org/dc/terms/" xmlns:xsi="http://www.w3.org/2001/XMLSchema-instance" xsi:type="dcterms:W3CDTF">2026-09-07T02:06:42Z</dcterms:modified>
</cp:coreProperties>
</file>