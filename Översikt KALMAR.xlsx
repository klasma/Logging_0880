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45811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45811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45811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45811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45811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45811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45811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45811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45811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45811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45811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45811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45811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45811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45811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45811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45811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45811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45811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45811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45811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45811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45811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45811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45811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45811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45811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45811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45811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45811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45811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23182-2025</t>
        </is>
      </c>
      <c r="B33" s="1" t="n">
        <v>45791</v>
      </c>
      <c r="C33" s="1" t="n">
        <v>45811</v>
      </c>
      <c r="D33" t="inlineStr">
        <is>
          <t>KALMAR LÄN</t>
        </is>
      </c>
      <c r="E33" t="inlineStr">
        <is>
          <t>KALMAR</t>
        </is>
      </c>
      <c r="G33" t="n">
        <v>6.5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Mindre bastardsvärmare
Prydnadsbock
Nattviol</t>
        </is>
      </c>
      <c r="S33">
        <f>HYPERLINK("https://klasma.github.io/Logging_080880/artfynd/A 23182-2025 artfynd.xlsx", "A 23182-2025")</f>
        <v/>
      </c>
      <c r="T33">
        <f>HYPERLINK("https://klasma.github.io/Logging_080880/kartor/A 23182-2025 karta.png", "A 23182-2025")</f>
        <v/>
      </c>
      <c r="V33">
        <f>HYPERLINK("https://klasma.github.io/Logging_080880/klagomål/A 23182-2025 FSC-klagomål.docx", "A 23182-2025")</f>
        <v/>
      </c>
      <c r="W33">
        <f>HYPERLINK("https://klasma.github.io/Logging_080880/klagomålsmail/A 23182-2025 FSC-klagomål mail.docx", "A 23182-2025")</f>
        <v/>
      </c>
      <c r="X33">
        <f>HYPERLINK("https://klasma.github.io/Logging_080880/tillsyn/A 23182-2025 tillsynsbegäran.docx", "A 23182-2025")</f>
        <v/>
      </c>
      <c r="Y33">
        <f>HYPERLINK("https://klasma.github.io/Logging_080880/tillsynsmail/A 23182-2025 tillsynsbegäran mail.docx", "A 23182-2025")</f>
        <v/>
      </c>
    </row>
    <row r="34" ht="15" customHeight="1">
      <c r="A34" t="inlineStr">
        <is>
          <t>A 36829-2019</t>
        </is>
      </c>
      <c r="B34" s="1" t="n">
        <v>43674</v>
      </c>
      <c r="C34" s="1" t="n">
        <v>45811</v>
      </c>
      <c r="D34" t="inlineStr">
        <is>
          <t>KALMAR LÄN</t>
        </is>
      </c>
      <c r="E34" t="inlineStr">
        <is>
          <t>KALMAR</t>
        </is>
      </c>
      <c r="G34" t="n">
        <v>18.7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Ekskinn
Fällmossa</t>
        </is>
      </c>
      <c r="S34">
        <f>HYPERLINK("https://klasma.github.io/Logging_0880/artfynd/A 36829-2019 artfynd.xlsx", "A 36829-2019")</f>
        <v/>
      </c>
      <c r="T34">
        <f>HYPERLINK("https://klasma.github.io/Logging_0880/kartor/A 36829-2019 karta.png", "A 36829-2019")</f>
        <v/>
      </c>
      <c r="V34">
        <f>HYPERLINK("https://klasma.github.io/Logging_0880/klagomål/A 36829-2019 FSC-klagomål.docx", "A 36829-2019")</f>
        <v/>
      </c>
      <c r="W34">
        <f>HYPERLINK("https://klasma.github.io/Logging_0880/klagomålsmail/A 36829-2019 FSC-klagomål mail.docx", "A 36829-2019")</f>
        <v/>
      </c>
      <c r="X34">
        <f>HYPERLINK("https://klasma.github.io/Logging_0880/tillsyn/A 36829-2019 tillsynsbegäran.docx", "A 36829-2019")</f>
        <v/>
      </c>
      <c r="Y34">
        <f>HYPERLINK("https://klasma.github.io/Logging_0880/tillsynsmail/A 36829-2019 tillsynsbegäran mail.docx", "A 36829-2019")</f>
        <v/>
      </c>
    </row>
    <row r="35" ht="15" customHeight="1">
      <c r="A35" t="inlineStr">
        <is>
          <t>A 46727-2019</t>
        </is>
      </c>
      <c r="B35" s="1" t="n">
        <v>43719</v>
      </c>
      <c r="C35" s="1" t="n">
        <v>45811</v>
      </c>
      <c r="D35" t="inlineStr">
        <is>
          <t>KALMAR LÄN</t>
        </is>
      </c>
      <c r="E35" t="inlineStr">
        <is>
          <t>KALMAR</t>
        </is>
      </c>
      <c r="G35" t="n">
        <v>14.7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Murgröna
Blåsippa</t>
        </is>
      </c>
      <c r="S35">
        <f>HYPERLINK("https://klasma.github.io/Logging_0880/artfynd/A 46727-2019 artfynd.xlsx", "A 46727-2019")</f>
        <v/>
      </c>
      <c r="T35">
        <f>HYPERLINK("https://klasma.github.io/Logging_0880/kartor/A 46727-2019 karta.png", "A 46727-2019")</f>
        <v/>
      </c>
      <c r="V35">
        <f>HYPERLINK("https://klasma.github.io/Logging_0880/klagomål/A 46727-2019 FSC-klagomål.docx", "A 46727-2019")</f>
        <v/>
      </c>
      <c r="W35">
        <f>HYPERLINK("https://klasma.github.io/Logging_0880/klagomålsmail/A 46727-2019 FSC-klagomål mail.docx", "A 46727-2019")</f>
        <v/>
      </c>
      <c r="X35">
        <f>HYPERLINK("https://klasma.github.io/Logging_0880/tillsyn/A 46727-2019 tillsynsbegäran.docx", "A 46727-2019")</f>
        <v/>
      </c>
      <c r="Y35">
        <f>HYPERLINK("https://klasma.github.io/Logging_0880/tillsynsmail/A 46727-2019 tillsynsbegäran mail.docx", "A 46727-2019")</f>
        <v/>
      </c>
    </row>
    <row r="36" ht="15" customHeight="1">
      <c r="A36" t="inlineStr">
        <is>
          <t>A 63949-2019</t>
        </is>
      </c>
      <c r="B36" s="1" t="n">
        <v>43796</v>
      </c>
      <c r="C36" s="1" t="n">
        <v>45811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2.5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Entita</t>
        </is>
      </c>
      <c r="S36">
        <f>HYPERLINK("https://klasma.github.io/Logging_0880/artfynd/A 63949-2019 artfynd.xlsx", "A 63949-2019")</f>
        <v/>
      </c>
      <c r="T36">
        <f>HYPERLINK("https://klasma.github.io/Logging_0880/kartor/A 63949-2019 karta.png", "A 63949-2019")</f>
        <v/>
      </c>
      <c r="V36">
        <f>HYPERLINK("https://klasma.github.io/Logging_0880/klagomål/A 63949-2019 FSC-klagomål.docx", "A 63949-2019")</f>
        <v/>
      </c>
      <c r="W36">
        <f>HYPERLINK("https://klasma.github.io/Logging_0880/klagomålsmail/A 63949-2019 FSC-klagomål mail.docx", "A 63949-2019")</f>
        <v/>
      </c>
      <c r="X36">
        <f>HYPERLINK("https://klasma.github.io/Logging_0880/tillsyn/A 63949-2019 tillsynsbegäran.docx", "A 63949-2019")</f>
        <v/>
      </c>
      <c r="Y36">
        <f>HYPERLINK("https://klasma.github.io/Logging_0880/tillsynsmail/A 63949-2019 tillsynsbegäran mail.docx", "A 63949-2019")</f>
        <v/>
      </c>
      <c r="Z36">
        <f>HYPERLINK("https://klasma.github.io/Logging_0880/fåglar/A 63949-2019 prioriterade fågelarter.docx", "A 63949-2019")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45811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45811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45811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45811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45811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45811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45811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45811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45811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45811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45811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45811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45811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45811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45811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45811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45811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45811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45811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45811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45811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45811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45811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45811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45811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45811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45811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45811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45811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45811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45811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45811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45811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45811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45811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45811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45811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45811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45811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45811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45811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45811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45811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45811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45811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45811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45811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45811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45811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45811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45811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45811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45811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45811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45811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45811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45811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45811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45811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45811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45811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45811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45811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45811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45811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45811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45811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45811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45811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45811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45811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45811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45811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45811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45811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45811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45811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45811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45811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45811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45811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45811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45811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45811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45811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45811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45811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45811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45811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45811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45811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45811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45811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45811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45811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45811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45811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45811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45811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45811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45811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45811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45811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45811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45811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45811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45811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45811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45811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45811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45811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45811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45811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45811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45811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45811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45811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45811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45811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45811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45811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45811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45811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45811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45811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45811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45811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45811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45811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45811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45811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45811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45811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45811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45811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45811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45811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45811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45811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45811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45811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45811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45811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45811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45811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45811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45811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45811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45811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45811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45811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45811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45811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45811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45811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45811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45811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45811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45811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45811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45811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45811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45811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45811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45811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45811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45811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45811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45811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45811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45811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45811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45811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45811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45811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45811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45811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45811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45811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45811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45811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45811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45811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45811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45811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45811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45811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45811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45811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45811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45811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45811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45811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45811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45811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45811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45811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45811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45811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45811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45811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45811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45811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45811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45811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45811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45811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45811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45811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45811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45811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45811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45811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45811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45811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45811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45811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45811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45811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45811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45811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45811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45811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45811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45811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45811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45811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45811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45811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45811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45811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45811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45811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45811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45811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45811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45811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45811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45811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45811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45811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45811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45811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45811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45811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45811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45811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45811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45811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45811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45811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45811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45811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45811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45811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45811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45811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45811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45811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45811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45811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45811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45811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45811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45811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45811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45811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45811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45811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45811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45811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45811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45811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45811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45811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45811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45811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45811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45811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45811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45811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45811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45811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45811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45811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45811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45811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45811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45811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45811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45811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45811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45811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45811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45811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45811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45811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45811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45811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45811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45811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45811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45811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45811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45811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45811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45811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45811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45811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45811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45811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45811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45811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45811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45811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45811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45811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45811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45811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45811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45811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45811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45811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45811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45811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45811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45811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45811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45811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45811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45811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45811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45811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45811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45811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45811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45811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45811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45811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45811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45811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45811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45811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45811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45811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45811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45811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45811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45811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45811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45811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45811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45811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45811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45811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45811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45811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45811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45811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45811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45811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45811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45811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45811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45811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45811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45811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45811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45811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45811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45811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45811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45811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45811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45811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45811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45811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45811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45811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45811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45811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45811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45811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45811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45811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45811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45811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45811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45811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45811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45811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45811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45811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45811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45811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45811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45811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45811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45811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45811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45811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45811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45811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45811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45811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45811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45811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45811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45811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45811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45811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45811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45811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45811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45811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45811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45811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45811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45811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45811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45811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45811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45811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45811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45811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45811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45811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45811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45811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45811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45811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45811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45811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45811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45811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45811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45811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45811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45811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45811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45811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45811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45811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45811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45811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45811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45811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45811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45811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45811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45811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45811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45811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45811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45811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45811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45811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45811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45811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45811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45811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45811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45811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45811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45811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45811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45811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45811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45811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45811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45811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45811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45811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45811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45811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45811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45811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45811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45811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45811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45811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45811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45811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45811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45811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45811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45811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45811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45811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45811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45811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45811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45811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45811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45811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45811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45811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45811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45811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45811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45811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45811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45811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45811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45811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45811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45811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45811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45811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45811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45811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45811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45811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45811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45811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45811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45811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45811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45811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45811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45811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45811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45811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45811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45811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45811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45811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45811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45811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45811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45811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45811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45811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45811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45811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45811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45811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45811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45811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45811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45811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45811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45811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45811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45811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45811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45811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45811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45811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45811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45811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45811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45811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45811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45811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45811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45811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45811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45811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45811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45811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45811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45811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45811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45811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45811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45811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45811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45811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45811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45811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45811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45811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45811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45811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45811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45811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45811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45811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45811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45811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45811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45811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45811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45811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45811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45811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45811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45811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45811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45811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45811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45811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45811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45811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45811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45811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45811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45811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45811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45811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45811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45811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45811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45811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45811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45811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45811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45811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45811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45811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45811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45811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45811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45811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45811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45811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45811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45811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45811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45811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45811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45811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45811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45811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45811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45811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45811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45811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45811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45811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45811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45811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45811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45811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45811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45811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45811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45811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45811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45811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45811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45811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45811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45811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45811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45811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45811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45811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45811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45811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45811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45811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45811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45811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45811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45811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45811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45811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45811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45811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45811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45811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45811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45811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45811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45811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45811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45811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45811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45811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45811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45811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45811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45811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45811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45811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45811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45811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45811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45811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45811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45811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45811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45811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45811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45811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45811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45811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45811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45811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45811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45811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45811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45811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45811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45811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45811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45811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45811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45811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45811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45811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45811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45811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45811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45811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45811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45811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45811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45811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45811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45811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45811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45811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45811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45811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45811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45811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45811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45811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45811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45811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45811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45811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45811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45811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45811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45811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45811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45811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45811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45811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45811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45811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45811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45811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45811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45811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45811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45811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45811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45811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45811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45811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45811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45811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45811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45811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45811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45811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45811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45811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45811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45811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45811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45811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45811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45811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45811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45811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45811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45811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45811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45811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45811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45811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45811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45811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45811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45811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45811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45811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45811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45811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45811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45811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45811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45811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45811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45811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45811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45811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45811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45811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45811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45811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45811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45811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45811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45811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45811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45811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45811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45811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45811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45811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45811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45811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45811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45811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45811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45811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45811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45811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45811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45811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45811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45811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45811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45811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45811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45811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45811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45811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45811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45811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45811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45811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45811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45811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45811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45811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45811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45811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45811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45811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45811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45811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45811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45811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45811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45811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45811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45811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45811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45811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45811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45811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45811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45811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45811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45811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45811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45811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45811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45811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45811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45811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45811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45811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45811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45811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45811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45811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45811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45811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45811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45811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45811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45811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45811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45811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45811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45811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45811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45811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45811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45811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45811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45811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45811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45811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45811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45811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45811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45811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45811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45811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45811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45811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45811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45811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45811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45811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45811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45811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45811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45811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45811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45811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45811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45811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45811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45811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45811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45811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45811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45811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45811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45811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45811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45811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45811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45811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45811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45811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45811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45811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45811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45811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45811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45811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45811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45811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45811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45811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45811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45811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45811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45811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45811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45811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45811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45811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45811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45811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45811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45811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45811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45811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45811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45811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45811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45811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45811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45811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45811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45811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45811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45811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45811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45811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45811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45811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45811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45811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45811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45811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45811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45811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45811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45811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45811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45811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45811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45811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45811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45811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45811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45811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45811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45811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45811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45811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45811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45811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45811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45811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45811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45811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45811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45811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45811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45811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45811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45811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45811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45811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45811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45811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45811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45811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45811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45811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45811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45811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45811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45811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45811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45811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45811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45811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45811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45811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45811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45811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45811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45811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45811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45811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45811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45811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45811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45811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45811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45811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45811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45811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45811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45811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45811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45811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45811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45811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45811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45811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45811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45811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45811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45811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45811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45811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45811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45811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45811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45811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45811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45811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45811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45811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45811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45811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45811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45811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45811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45811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45811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45811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45811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45811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45811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45811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45811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45811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45811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45811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45811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45811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45811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45811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45811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45811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45811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45811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45811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45811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45811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45811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45811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45811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45811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45811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45811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45811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45811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45811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45811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45811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45811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45811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45811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45811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45811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45811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45811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45811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45811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45811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45811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45811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45811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45811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45811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45811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45811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45811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45811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45811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45811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45811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45811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45811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45811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45811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45811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45811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45811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45811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45811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45811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45811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45811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45811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45811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45811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45811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45811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45811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45811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45811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45811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45811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45811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45811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45811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45811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45811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45811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45811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45811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45811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45811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45811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45811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45811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45811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45811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45811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45811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45811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45811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45811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45811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45811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45811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45811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45811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45811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45811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45811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45811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45811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45811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45811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45811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45811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45811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45811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45811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45811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45811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45811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45811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45811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45811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45811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45811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45811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45811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45811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45811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45811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45811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45811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45811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45811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45811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45811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45811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45811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45811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45811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45811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45811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45811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45811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45811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45811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45811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45811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45811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45811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45811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45811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45811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45811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45811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45811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45811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45811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45811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45811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45811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45811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45811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45811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45811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45811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45811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45811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45811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45811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45811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45811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45811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45811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45811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45811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45811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45811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45811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45811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45811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45811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45811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45811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45811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45811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45811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45811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45811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45811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45811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45811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45811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45811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45811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45811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45811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45811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45811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45811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45811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45811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45811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45811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45811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45811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45811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45811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45811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45811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45811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45811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45811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45811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45811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45811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45811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45811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45811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45811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45811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45811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45811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45811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45811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45811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45811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45811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45811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45811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45811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45811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21471-2025</t>
        </is>
      </c>
      <c r="B1302" s="1" t="n">
        <v>45782</v>
      </c>
      <c r="C1302" s="1" t="n">
        <v>45811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45811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21496-2025</t>
        </is>
      </c>
      <c r="B1304" s="1" t="n">
        <v>45782</v>
      </c>
      <c r="C1304" s="1" t="n">
        <v>45811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21628-2025</t>
        </is>
      </c>
      <c r="B1305" s="1" t="n">
        <v>45783</v>
      </c>
      <c r="C1305" s="1" t="n">
        <v>45811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22171-2025</t>
        </is>
      </c>
      <c r="B1306" s="1" t="n">
        <v>45785</v>
      </c>
      <c r="C1306" s="1" t="n">
        <v>45811</v>
      </c>
      <c r="D1306" t="inlineStr">
        <is>
          <t>KALMAR LÄN</t>
        </is>
      </c>
      <c r="E1306" t="inlineStr">
        <is>
          <t>KALMAR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22055-2025</t>
        </is>
      </c>
      <c r="B1307" s="1" t="n">
        <v>45785</v>
      </c>
      <c r="C1307" s="1" t="n">
        <v>45811</v>
      </c>
      <c r="D1307" t="inlineStr">
        <is>
          <t>KALMAR LÄN</t>
        </is>
      </c>
      <c r="E1307" t="inlineStr">
        <is>
          <t>KALMAR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22259-2025</t>
        </is>
      </c>
      <c r="B1308" s="1" t="n">
        <v>45785</v>
      </c>
      <c r="C1308" s="1" t="n">
        <v>45811</v>
      </c>
      <c r="D1308" t="inlineStr">
        <is>
          <t>KALMAR LÄN</t>
        </is>
      </c>
      <c r="E1308" t="inlineStr">
        <is>
          <t>KALMAR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45811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45811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45811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45811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23661-2025</t>
        </is>
      </c>
      <c r="B1313" s="1" t="n">
        <v>45792</v>
      </c>
      <c r="C1313" s="1" t="n">
        <v>45811</v>
      </c>
      <c r="D1313" t="inlineStr">
        <is>
          <t>KALMAR LÄN</t>
        </is>
      </c>
      <c r="E1313" t="inlineStr">
        <is>
          <t>KALMAR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23561-2025</t>
        </is>
      </c>
      <c r="B1314" s="1" t="n">
        <v>45792</v>
      </c>
      <c r="C1314" s="1" t="n">
        <v>45811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23543-2025</t>
        </is>
      </c>
      <c r="B1315" s="1" t="n">
        <v>45792</v>
      </c>
      <c r="C1315" s="1" t="n">
        <v>45811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23565-2025</t>
        </is>
      </c>
      <c r="B1316" s="1" t="n">
        <v>45792</v>
      </c>
      <c r="C1316" s="1" t="n">
        <v>45811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24002-2025</t>
        </is>
      </c>
      <c r="B1317" s="1" t="n">
        <v>45796</v>
      </c>
      <c r="C1317" s="1" t="n">
        <v>45811</v>
      </c>
      <c r="D1317" t="inlineStr">
        <is>
          <t>KALMAR LÄN</t>
        </is>
      </c>
      <c r="E1317" t="inlineStr">
        <is>
          <t>KALMAR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24001-2025</t>
        </is>
      </c>
      <c r="B1318" s="1" t="n">
        <v>45796</v>
      </c>
      <c r="C1318" s="1" t="n">
        <v>45811</v>
      </c>
      <c r="D1318" t="inlineStr">
        <is>
          <t>KALMAR LÄN</t>
        </is>
      </c>
      <c r="E1318" t="inlineStr">
        <is>
          <t>KALMAR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24272-2025</t>
        </is>
      </c>
      <c r="B1319" s="1" t="n">
        <v>45797</v>
      </c>
      <c r="C1319" s="1" t="n">
        <v>45811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25877-2025</t>
        </is>
      </c>
      <c r="B1320" s="1" t="n">
        <v>45804</v>
      </c>
      <c r="C1320" s="1" t="n">
        <v>45811</v>
      </c>
      <c r="D1320" t="inlineStr">
        <is>
          <t>KALMAR LÄN</t>
        </is>
      </c>
      <c r="E1320" t="inlineStr">
        <is>
          <t>KALMAR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26322-2025</t>
        </is>
      </c>
      <c r="B1321" s="1" t="n">
        <v>45805</v>
      </c>
      <c r="C1321" s="1" t="n">
        <v>45811</v>
      </c>
      <c r="D1321" t="inlineStr">
        <is>
          <t>KALMAR LÄN</t>
        </is>
      </c>
      <c r="E1321" t="inlineStr">
        <is>
          <t>KALMAR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>
      <c r="A1322" t="inlineStr">
        <is>
          <t>A 26401-2025</t>
        </is>
      </c>
      <c r="B1322" s="1" t="n">
        <v>45807</v>
      </c>
      <c r="C1322" s="1" t="n">
        <v>45811</v>
      </c>
      <c r="D1322" t="inlineStr">
        <is>
          <t>KALMAR LÄN</t>
        </is>
      </c>
      <c r="E1322" t="inlineStr">
        <is>
          <t>KALMAR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2025-06-03T18:14:21Z</dcterms:created>
  <dcterms:modified xmlns:dcterms="http://purl.org/dc/terms/" xmlns:xsi="http://www.w3.org/2001/XMLSchema-instance" xsi:type="dcterms:W3CDTF">2025-06-03T18:14:23Z</dcterms:modified>
</cp:coreProperties>
</file>