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51898-2025</t>
        </is>
      </c>
      <c r="B2" s="1" t="n">
        <v>45952</v>
      </c>
      <c r="C2" s="1" t="n">
        <v>46194</v>
      </c>
      <c r="D2" t="inlineStr">
        <is>
          <t>KALMAR LÄN</t>
        </is>
      </c>
      <c r="E2" t="inlineStr">
        <is>
          <t>KALMAR</t>
        </is>
      </c>
      <c r="G2" t="n">
        <v>1.1</v>
      </c>
      <c r="H2" t="n">
        <v>12</v>
      </c>
      <c r="I2" t="n">
        <v>3</v>
      </c>
      <c r="J2" t="n">
        <v>6</v>
      </c>
      <c r="K2" t="n">
        <v>2</v>
      </c>
      <c r="L2" t="n">
        <v>1</v>
      </c>
      <c r="M2" t="n">
        <v>0</v>
      </c>
      <c r="N2" t="n">
        <v>0</v>
      </c>
      <c r="O2" t="n">
        <v>9</v>
      </c>
      <c r="P2" t="n">
        <v>3</v>
      </c>
      <c r="Q2" t="n">
        <v>18</v>
      </c>
      <c r="R2" s="2" t="inlineStr">
        <is>
          <t>Vit lavmätare
Grönfink
Mindre bastardsvärmare
Entita
Grönsångare
Mindre hackspett
Större aspvårvecklare
Sädesärla
Vasspetsad sikelvinge
Ekoxe
Spindelbock
Trollspinnare
Spillkråka
Kungsfågel
Röd glada
Svartvit flugsnappare
Sångsvan
Trana</t>
        </is>
      </c>
      <c r="S2">
        <f>HYPERLINK("https://klasma.github.io/Logging_0880/artfynd/A 51898-2025 artfynd.xlsx", "A 51898-2025")</f>
        <v/>
      </c>
      <c r="T2">
        <f>HYPERLINK("https://klasma.github.io/Logging_0880/kartor/A 51898-2025 karta.png", "A 51898-2025")</f>
        <v/>
      </c>
      <c r="V2">
        <f>HYPERLINK("https://klasma.github.io/Logging_0880/klagomål/A 51898-2025 FSC-klagomål.docx", "A 51898-2025")</f>
        <v/>
      </c>
      <c r="W2">
        <f>HYPERLINK("https://klasma.github.io/Logging_0880/klagomålsmail/A 51898-2025 FSC-klagomål mail.docx", "A 51898-2025")</f>
        <v/>
      </c>
      <c r="X2">
        <f>HYPERLINK("https://klasma.github.io/Logging_0880/tillsyn/A 51898-2025 tillsynsbegäran.docx", "A 51898-2025")</f>
        <v/>
      </c>
      <c r="Y2">
        <f>HYPERLINK("https://klasma.github.io/Logging_0880/tillsynsmail/A 51898-2025 tillsynsbegäran mail.docx", "A 51898-2025")</f>
        <v/>
      </c>
      <c r="Z2">
        <f>HYPERLINK("https://klasma.github.io/Logging_0880/fåglar/A 51898-2025 prioriterade fågelarter.docx", "A 51898-2025")</f>
        <v/>
      </c>
    </row>
    <row r="3" ht="15" customHeight="1">
      <c r="A3" t="inlineStr">
        <is>
          <t>A 45095-2021</t>
        </is>
      </c>
      <c r="B3" s="1" t="n">
        <v>44439</v>
      </c>
      <c r="C3" s="1" t="n">
        <v>46194</v>
      </c>
      <c r="D3" t="inlineStr">
        <is>
          <t>KALMAR LÄN</t>
        </is>
      </c>
      <c r="E3" t="inlineStr">
        <is>
          <t>KALMAR</t>
        </is>
      </c>
      <c r="F3" t="inlineStr">
        <is>
          <t>Sveaskog</t>
        </is>
      </c>
      <c r="G3" t="n">
        <v>6.9</v>
      </c>
      <c r="H3" t="n">
        <v>1</v>
      </c>
      <c r="I3" t="n">
        <v>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6</v>
      </c>
      <c r="P3" t="n">
        <v>4</v>
      </c>
      <c r="Q3" t="n">
        <v>11</v>
      </c>
      <c r="R3" s="2" t="inlineStr">
        <is>
          <t>Skogsalm
Violgubbe
Gul taggsvamp
Porslinsblå spindling
Fjällig taggsvamp s.str.
Fyrflikig jordstjärna
Hasselsopp
Murgröna
Myskmadra
Safsa
Blåsippa</t>
        </is>
      </c>
      <c r="S3">
        <f>HYPERLINK("https://klasma.github.io/Logging_0880/artfynd/A 45095-2021 artfynd.xlsx", "A 45095-2021")</f>
        <v/>
      </c>
      <c r="T3">
        <f>HYPERLINK("https://klasma.github.io/Logging_0880/kartor/A 45095-2021 karta.png", "A 45095-2021")</f>
        <v/>
      </c>
      <c r="V3">
        <f>HYPERLINK("https://klasma.github.io/Logging_0880/klagomål/A 45095-2021 FSC-klagomål.docx", "A 45095-2021")</f>
        <v/>
      </c>
      <c r="W3">
        <f>HYPERLINK("https://klasma.github.io/Logging_0880/klagomålsmail/A 45095-2021 FSC-klagomål mail.docx", "A 45095-2021")</f>
        <v/>
      </c>
      <c r="X3">
        <f>HYPERLINK("https://klasma.github.io/Logging_0880/tillsyn/A 45095-2021 tillsynsbegäran.docx", "A 45095-2021")</f>
        <v/>
      </c>
      <c r="Y3">
        <f>HYPERLINK("https://klasma.github.io/Logging_0880/tillsynsmail/A 45095-2021 tillsynsbegäran mail.docx", "A 45095-2021")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46194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8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10</v>
      </c>
      <c r="R4" s="2" t="inlineStr">
        <is>
          <t>Gråtrut
Sandödla
Tofsvipa
Gullklöver
Kandelabersvamp
Ladusvala
Större vattensalamander
Sångsvan
Trana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  <c r="Z4">
        <f>HYPERLINK("https://klasma.github.io/Logging_0880/fåglar/A 8929-2023 prioriterade fågelarter.docx", "A 8929-2023")</f>
        <v/>
      </c>
    </row>
    <row r="5" ht="15" customHeight="1">
      <c r="A5" t="inlineStr">
        <is>
          <t>A 53138-2022</t>
        </is>
      </c>
      <c r="B5" s="1" t="n">
        <v>44876</v>
      </c>
      <c r="C5" s="1" t="n">
        <v>46194</v>
      </c>
      <c r="D5" t="inlineStr">
        <is>
          <t>KALMAR LÄN</t>
        </is>
      </c>
      <c r="E5" t="inlineStr">
        <is>
          <t>KALMAR</t>
        </is>
      </c>
      <c r="G5" t="n">
        <v>4</v>
      </c>
      <c r="H5" t="n">
        <v>3</v>
      </c>
      <c r="I5" t="n">
        <v>5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9</v>
      </c>
      <c r="R5" s="2" t="inlineStr">
        <is>
          <t>Knärot
Motaggsvamp
Talltita
Blomkålssvamp
Brandticka
Flagellkvastmossa
Havstulpanlav
Kornknutmossa
Spillkråka</t>
        </is>
      </c>
      <c r="S5">
        <f>HYPERLINK("https://klasma.github.io/Logging_0880/artfynd/A 53138-2022 artfynd.xlsx", "A 53138-2022")</f>
        <v/>
      </c>
      <c r="T5">
        <f>HYPERLINK("https://klasma.github.io/Logging_0880/kartor/A 53138-2022 karta.png", "A 53138-2022")</f>
        <v/>
      </c>
      <c r="U5">
        <f>HYPERLINK("https://klasma.github.io/Logging_0880/knärot/A 53138-2022 karta knärot.png", "A 53138-2022")</f>
        <v/>
      </c>
      <c r="V5">
        <f>HYPERLINK("https://klasma.github.io/Logging_0880/klagomål/A 53138-2022 FSC-klagomål.docx", "A 53138-2022")</f>
        <v/>
      </c>
      <c r="W5">
        <f>HYPERLINK("https://klasma.github.io/Logging_0880/klagomålsmail/A 53138-2022 FSC-klagomål mail.docx", "A 53138-2022")</f>
        <v/>
      </c>
      <c r="X5">
        <f>HYPERLINK("https://klasma.github.io/Logging_0880/tillsyn/A 53138-2022 tillsynsbegäran.docx", "A 53138-2022")</f>
        <v/>
      </c>
      <c r="Y5">
        <f>HYPERLINK("https://klasma.github.io/Logging_0880/tillsynsmail/A 53138-2022 tillsynsbegäran mail.docx", "A 53138-2022")</f>
        <v/>
      </c>
      <c r="Z5">
        <f>HYPERLINK("https://klasma.github.io/Logging_0880/fåglar/A 53138-2022 prioriterade fågelarter.docx", "A 53138-2022")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46194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2</v>
      </c>
      <c r="I6" t="n">
        <v>2</v>
      </c>
      <c r="J6" t="n">
        <v>4</v>
      </c>
      <c r="K6" t="n">
        <v>2</v>
      </c>
      <c r="L6" t="n">
        <v>1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Tallharticka
Knärot
Sandödla
Gropig brunbagge
Jätteknäppare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51110-2025</t>
        </is>
      </c>
      <c r="B7" s="1" t="n">
        <v>45947</v>
      </c>
      <c r="C7" s="1" t="n">
        <v>46194</v>
      </c>
      <c r="D7" t="inlineStr">
        <is>
          <t>KALMAR LÄN</t>
        </is>
      </c>
      <c r="E7" t="inlineStr">
        <is>
          <t>KALMAR</t>
        </is>
      </c>
      <c r="G7" t="n">
        <v>2.2</v>
      </c>
      <c r="H7" t="n">
        <v>3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Kattfotslav
Reliktbock
Tallkötticka
Talltita
Blåmossa
Brandticka
Bronshjon
Spillkråka</t>
        </is>
      </c>
      <c r="S7">
        <f>HYPERLINK("https://klasma.github.io/Logging_0880/artfynd/A 51110-2025 artfynd.xlsx", "A 51110-2025")</f>
        <v/>
      </c>
      <c r="T7">
        <f>HYPERLINK("https://klasma.github.io/Logging_0880/kartor/A 51110-2025 karta.png", "A 51110-2025")</f>
        <v/>
      </c>
      <c r="U7">
        <f>HYPERLINK("https://klasma.github.io/Logging_0880/knärot/A 51110-2025 karta knärot.png", "A 51110-2025")</f>
        <v/>
      </c>
      <c r="V7">
        <f>HYPERLINK("https://klasma.github.io/Logging_0880/klagomål/A 51110-2025 FSC-klagomål.docx", "A 51110-2025")</f>
        <v/>
      </c>
      <c r="W7">
        <f>HYPERLINK("https://klasma.github.io/Logging_0880/klagomålsmail/A 51110-2025 FSC-klagomål mail.docx", "A 51110-2025")</f>
        <v/>
      </c>
      <c r="X7">
        <f>HYPERLINK("https://klasma.github.io/Logging_0880/tillsyn/A 51110-2025 tillsynsbegäran.docx", "A 51110-2025")</f>
        <v/>
      </c>
      <c r="Y7">
        <f>HYPERLINK("https://klasma.github.io/Logging_0880/tillsynsmail/A 51110-2025 tillsynsbegäran mail.docx", "A 51110-2025")</f>
        <v/>
      </c>
      <c r="Z7">
        <f>HYPERLINK("https://klasma.github.io/Logging_0880/fåglar/A 51110-2025 prioriterade fågelarter.docx", "A 51110-2025")</f>
        <v/>
      </c>
    </row>
    <row r="8" ht="15" customHeight="1">
      <c r="A8" t="inlineStr">
        <is>
          <t>A 55671-2021</t>
        </is>
      </c>
      <c r="B8" s="1" t="n">
        <v>44476</v>
      </c>
      <c r="C8" s="1" t="n">
        <v>46194</v>
      </c>
      <c r="D8" t="inlineStr">
        <is>
          <t>KALMAR LÄN</t>
        </is>
      </c>
      <c r="E8" t="inlineStr">
        <is>
          <t>KALMAR</t>
        </is>
      </c>
      <c r="F8" t="inlineStr">
        <is>
          <t>Kommuner</t>
        </is>
      </c>
      <c r="G8" t="n">
        <v>13.4</v>
      </c>
      <c r="H8" t="n">
        <v>2</v>
      </c>
      <c r="I8" t="n">
        <v>3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8</v>
      </c>
      <c r="R8" s="2" t="inlineStr">
        <is>
          <t>Tallharticka
Knärot
Tallkötticka
Tallticka
Talltita
Blomkålssvamp
Grovticka
Mindre märgborre</t>
        </is>
      </c>
      <c r="S8">
        <f>HYPERLINK("https://klasma.github.io/Logging_0880/artfynd/A 55671-2021 artfynd.xlsx", "A 55671-2021")</f>
        <v/>
      </c>
      <c r="T8">
        <f>HYPERLINK("https://klasma.github.io/Logging_0880/kartor/A 55671-2021 karta.png", "A 55671-2021")</f>
        <v/>
      </c>
      <c r="U8">
        <f>HYPERLINK("https://klasma.github.io/Logging_0880/knärot/A 55671-2021 karta knärot.png", "A 55671-2021")</f>
        <v/>
      </c>
      <c r="V8">
        <f>HYPERLINK("https://klasma.github.io/Logging_0880/klagomål/A 55671-2021 FSC-klagomål.docx", "A 55671-2021")</f>
        <v/>
      </c>
      <c r="W8">
        <f>HYPERLINK("https://klasma.github.io/Logging_0880/klagomålsmail/A 55671-2021 FSC-klagomål mail.docx", "A 55671-2021")</f>
        <v/>
      </c>
      <c r="X8">
        <f>HYPERLINK("https://klasma.github.io/Logging_0880/tillsyn/A 55671-2021 tillsynsbegäran.docx", "A 55671-2021")</f>
        <v/>
      </c>
      <c r="Y8">
        <f>HYPERLINK("https://klasma.github.io/Logging_0880/tillsynsmail/A 55671-2021 tillsynsbegäran mail.docx", "A 55671-2021")</f>
        <v/>
      </c>
      <c r="Z8">
        <f>HYPERLINK("https://klasma.github.io/Logging_0880/fåglar/A 55671-2021 prioriterade fågelarter.docx", "A 55671-2021")</f>
        <v/>
      </c>
    </row>
    <row r="9" ht="15" customHeight="1">
      <c r="A9" t="inlineStr">
        <is>
          <t>A 44163-2025</t>
        </is>
      </c>
      <c r="B9" s="1" t="n">
        <v>45915</v>
      </c>
      <c r="C9" s="1" t="n">
        <v>46194</v>
      </c>
      <c r="D9" t="inlineStr">
        <is>
          <t>KALMAR LÄN</t>
        </is>
      </c>
      <c r="E9" t="inlineStr">
        <is>
          <t>KALMAR</t>
        </is>
      </c>
      <c r="G9" t="n">
        <v>1.1</v>
      </c>
      <c r="H9" t="n">
        <v>6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Entita
Talltita
Brandticka
Grovticka
Tjäder
Gröngöling
Grönsiska
Kungsfågel</t>
        </is>
      </c>
      <c r="S9">
        <f>HYPERLINK("https://klasma.github.io/Logging_0880/artfynd/A 44163-2025 artfynd.xlsx", "A 44163-2025")</f>
        <v/>
      </c>
      <c r="T9">
        <f>HYPERLINK("https://klasma.github.io/Logging_0880/kartor/A 44163-2025 karta.png", "A 44163-2025")</f>
        <v/>
      </c>
      <c r="V9">
        <f>HYPERLINK("https://klasma.github.io/Logging_0880/klagomål/A 44163-2025 FSC-klagomål.docx", "A 44163-2025")</f>
        <v/>
      </c>
      <c r="W9">
        <f>HYPERLINK("https://klasma.github.io/Logging_0880/klagomålsmail/A 44163-2025 FSC-klagomål mail.docx", "A 44163-2025")</f>
        <v/>
      </c>
      <c r="X9">
        <f>HYPERLINK("https://klasma.github.io/Logging_0880/tillsyn/A 44163-2025 tillsynsbegäran.docx", "A 44163-2025")</f>
        <v/>
      </c>
      <c r="Y9">
        <f>HYPERLINK("https://klasma.github.io/Logging_0880/tillsynsmail/A 44163-2025 tillsynsbegäran mail.docx", "A 44163-2025")</f>
        <v/>
      </c>
      <c r="Z9">
        <f>HYPERLINK("https://klasma.github.io/Logging_0880/fåglar/A 44163-2025 prioriterade fågelarter.docx", "A 44163-2025")</f>
        <v/>
      </c>
    </row>
    <row r="10" ht="15" customHeight="1">
      <c r="A10" t="inlineStr">
        <is>
          <t>A 49276-2021</t>
        </is>
      </c>
      <c r="B10" s="1" t="n">
        <v>44454</v>
      </c>
      <c r="C10" s="1" t="n">
        <v>46194</v>
      </c>
      <c r="D10" t="inlineStr">
        <is>
          <t>KALMAR LÄN</t>
        </is>
      </c>
      <c r="E10" t="inlineStr">
        <is>
          <t>KALMAR</t>
        </is>
      </c>
      <c r="G10" t="n">
        <v>2.8</v>
      </c>
      <c r="H10" t="n">
        <v>3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Motaggsvamp
Talltita
Ullticka
Blåmossa
Vedticka
Spillkråka</t>
        </is>
      </c>
      <c r="S10">
        <f>HYPERLINK("https://klasma.github.io/Logging_0880/artfynd/A 49276-2021 artfynd.xlsx", "A 49276-2021")</f>
        <v/>
      </c>
      <c r="T10">
        <f>HYPERLINK("https://klasma.github.io/Logging_0880/kartor/A 49276-2021 karta.png", "A 49276-2021")</f>
        <v/>
      </c>
      <c r="U10">
        <f>HYPERLINK("https://klasma.github.io/Logging_0880/knärot/A 49276-2021 karta knärot.png", "A 49276-2021")</f>
        <v/>
      </c>
      <c r="V10">
        <f>HYPERLINK("https://klasma.github.io/Logging_0880/klagomål/A 49276-2021 FSC-klagomål.docx", "A 49276-2021")</f>
        <v/>
      </c>
      <c r="W10">
        <f>HYPERLINK("https://klasma.github.io/Logging_0880/klagomålsmail/A 49276-2021 FSC-klagomål mail.docx", "A 49276-2021")</f>
        <v/>
      </c>
      <c r="X10">
        <f>HYPERLINK("https://klasma.github.io/Logging_0880/tillsyn/A 49276-2021 tillsynsbegäran.docx", "A 49276-2021")</f>
        <v/>
      </c>
      <c r="Y10">
        <f>HYPERLINK("https://klasma.github.io/Logging_0880/tillsynsmail/A 49276-2021 tillsynsbegäran mail.docx", "A 49276-2021")</f>
        <v/>
      </c>
      <c r="Z10">
        <f>HYPERLINK("https://klasma.github.io/Logging_0880/fåglar/A 49276-2021 prioriterade fågelarter.docx", "A 49276-2021")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46194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Blåsippa
Grönvit nattviol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46194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Blomkålssvamp
Blåmossa
Vedticka
Spillkråka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7344-2025</t>
        </is>
      </c>
      <c r="B13" s="1" t="n">
        <v>45703</v>
      </c>
      <c r="C13" s="1" t="n">
        <v>46194</v>
      </c>
      <c r="D13" t="inlineStr">
        <is>
          <t>KALMAR LÄN</t>
        </is>
      </c>
      <c r="E13" t="inlineStr">
        <is>
          <t>KALMAR</t>
        </is>
      </c>
      <c r="G13" t="n">
        <v>1.7</v>
      </c>
      <c r="H13" t="n">
        <v>2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Spretfibbla
Vippärt
Vårärt
Fällmossa
Vätteros
Blåsippa
Sångsvan</t>
        </is>
      </c>
      <c r="S13">
        <f>HYPERLINK("https://klasma.github.io/Logging_0880/artfynd/A 7344-2025 artfynd.xlsx", "A 7344-2025")</f>
        <v/>
      </c>
      <c r="T13">
        <f>HYPERLINK("https://klasma.github.io/Logging_0880/kartor/A 7344-2025 karta.png", "A 7344-2025")</f>
        <v/>
      </c>
      <c r="V13">
        <f>HYPERLINK("https://klasma.github.io/Logging_0880/klagomål/A 7344-2025 FSC-klagomål.docx", "A 7344-2025")</f>
        <v/>
      </c>
      <c r="W13">
        <f>HYPERLINK("https://klasma.github.io/Logging_0880/klagomålsmail/A 7344-2025 FSC-klagomål mail.docx", "A 7344-2025")</f>
        <v/>
      </c>
      <c r="X13">
        <f>HYPERLINK("https://klasma.github.io/Logging_0880/tillsyn/A 7344-2025 tillsynsbegäran.docx", "A 7344-2025")</f>
        <v/>
      </c>
      <c r="Y13">
        <f>HYPERLINK("https://klasma.github.io/Logging_0880/tillsynsmail/A 7344-2025 tillsynsbegäran mail.docx", "A 7344-2025")</f>
        <v/>
      </c>
      <c r="Z13">
        <f>HYPERLINK("https://klasma.github.io/Logging_0880/fåglar/A 7344-2025 prioriterade fågelarter.docx", "A 7344-2025")</f>
        <v/>
      </c>
    </row>
    <row r="14" ht="15" customHeight="1">
      <c r="A14" t="inlineStr">
        <is>
          <t>A 15774-2026</t>
        </is>
      </c>
      <c r="B14" s="1" t="n">
        <v>46107</v>
      </c>
      <c r="C14" s="1" t="n">
        <v>46194</v>
      </c>
      <c r="D14" t="inlineStr">
        <is>
          <t>KALMAR LÄN</t>
        </is>
      </c>
      <c r="E14" t="inlineStr">
        <is>
          <t>KALMAR</t>
        </is>
      </c>
      <c r="G14" t="n">
        <v>6.6</v>
      </c>
      <c r="H14" t="n">
        <v>7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Sandödla
Ekoxe
Blåsippa
Nattskärra
Citronfläckad kärrtrollslända
Långbensgroda
Trädlärka</t>
        </is>
      </c>
      <c r="S14">
        <f>HYPERLINK("https://klasma.github.io/Logging_0880/artfynd/A 15774-2026 artfynd.xlsx", "A 15774-2026")</f>
        <v/>
      </c>
      <c r="T14">
        <f>HYPERLINK("https://klasma.github.io/Logging_0880/kartor/A 15774-2026 karta.png", "A 15774-2026")</f>
        <v/>
      </c>
      <c r="V14">
        <f>HYPERLINK("https://klasma.github.io/Logging_0880/klagomål/A 15774-2026 FSC-klagomål.docx", "A 15774-2026")</f>
        <v/>
      </c>
      <c r="W14">
        <f>HYPERLINK("https://klasma.github.io/Logging_0880/klagomålsmail/A 15774-2026 FSC-klagomål mail.docx", "A 15774-2026")</f>
        <v/>
      </c>
      <c r="X14">
        <f>HYPERLINK("https://klasma.github.io/Logging_0880/tillsyn/A 15774-2026 tillsynsbegäran.docx", "A 15774-2026")</f>
        <v/>
      </c>
      <c r="Y14">
        <f>HYPERLINK("https://klasma.github.io/Logging_0880/tillsynsmail/A 15774-2026 tillsynsbegäran mail.docx", "A 15774-2026")</f>
        <v/>
      </c>
      <c r="Z14">
        <f>HYPERLINK("https://klasma.github.io/Logging_0880/fåglar/A 15774-2026 prioriterade fågelarter.docx", "A 15774-2026")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46194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66992-2021</t>
        </is>
      </c>
      <c r="B16" s="1" t="n">
        <v>44522</v>
      </c>
      <c r="C16" s="1" t="n">
        <v>46194</v>
      </c>
      <c r="D16" t="inlineStr">
        <is>
          <t>KALMAR LÄN</t>
        </is>
      </c>
      <c r="E16" t="inlineStr">
        <is>
          <t>KALMAR</t>
        </is>
      </c>
      <c r="G16" t="n">
        <v>2.8</v>
      </c>
      <c r="H16" t="n">
        <v>2</v>
      </c>
      <c r="I16" t="n">
        <v>0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5</v>
      </c>
      <c r="R16" s="2" t="inlineStr">
        <is>
          <t>Bredbrämad bastardsvärmare
Sandödla
Gullklöver
Linmåra/småsnärjmåra
Mattlummer</t>
        </is>
      </c>
      <c r="S16">
        <f>HYPERLINK("https://klasma.github.io/Logging_0880/artfynd/A 66992-2021 artfynd.xlsx", "A 66992-2021")</f>
        <v/>
      </c>
      <c r="T16">
        <f>HYPERLINK("https://klasma.github.io/Logging_0880/kartor/A 66992-2021 karta.png", "A 66992-2021")</f>
        <v/>
      </c>
      <c r="V16">
        <f>HYPERLINK("https://klasma.github.io/Logging_0880/klagomål/A 66992-2021 FSC-klagomål.docx", "A 66992-2021")</f>
        <v/>
      </c>
      <c r="W16">
        <f>HYPERLINK("https://klasma.github.io/Logging_0880/klagomålsmail/A 66992-2021 FSC-klagomål mail.docx", "A 66992-2021")</f>
        <v/>
      </c>
      <c r="X16">
        <f>HYPERLINK("https://klasma.github.io/Logging_0880/tillsyn/A 66992-2021 tillsynsbegäran.docx", "A 66992-2021")</f>
        <v/>
      </c>
      <c r="Y16">
        <f>HYPERLINK("https://klasma.github.io/Logging_0880/tillsynsmail/A 66992-2021 tillsynsbegäran mail.docx", "A 66992-2021")</f>
        <v/>
      </c>
    </row>
    <row r="17" ht="15" customHeight="1">
      <c r="A17" t="inlineStr">
        <is>
          <t>A 6933-2023</t>
        </is>
      </c>
      <c r="B17" s="1" t="n">
        <v>44951</v>
      </c>
      <c r="C17" s="1" t="n">
        <v>46194</v>
      </c>
      <c r="D17" t="inlineStr">
        <is>
          <t>KALMAR LÄN</t>
        </is>
      </c>
      <c r="E17" t="inlineStr">
        <is>
          <t>KALMAR</t>
        </is>
      </c>
      <c r="G17" t="n">
        <v>9.6</v>
      </c>
      <c r="H17" t="n">
        <v>1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Aspstumpbagge
Fyrflikig jordstjärna
Blåmossa
Rävticka</t>
        </is>
      </c>
      <c r="S17">
        <f>HYPERLINK("https://klasma.github.io/Logging_0880/artfynd/A 6933-2023 artfynd.xlsx", "A 6933-2023")</f>
        <v/>
      </c>
      <c r="T17">
        <f>HYPERLINK("https://klasma.github.io/Logging_0880/kartor/A 6933-2023 karta.png", "A 6933-2023")</f>
        <v/>
      </c>
      <c r="U17">
        <f>HYPERLINK("https://klasma.github.io/Logging_0880/knärot/A 6933-2023 karta knärot.png", "A 6933-2023")</f>
        <v/>
      </c>
      <c r="V17">
        <f>HYPERLINK("https://klasma.github.io/Logging_0880/klagomål/A 6933-2023 FSC-klagomål.docx", "A 6933-2023")</f>
        <v/>
      </c>
      <c r="W17">
        <f>HYPERLINK("https://klasma.github.io/Logging_0880/klagomålsmail/A 6933-2023 FSC-klagomål mail.docx", "A 6933-2023")</f>
        <v/>
      </c>
      <c r="X17">
        <f>HYPERLINK("https://klasma.github.io/Logging_0880/tillsyn/A 6933-2023 tillsynsbegäran.docx", "A 6933-2023")</f>
        <v/>
      </c>
      <c r="Y17">
        <f>HYPERLINK("https://klasma.github.io/Logging_0880/tillsynsmail/A 6933-2023 tillsynsbegäran mail.docx", "A 6933-2023")</f>
        <v/>
      </c>
    </row>
    <row r="18" ht="15" customHeight="1">
      <c r="A18" t="inlineStr">
        <is>
          <t>A 12935-2026</t>
        </is>
      </c>
      <c r="B18" s="1" t="n">
        <v>46092</v>
      </c>
      <c r="C18" s="1" t="n">
        <v>46194</v>
      </c>
      <c r="D18" t="inlineStr">
        <is>
          <t>KALMAR LÄN</t>
        </is>
      </c>
      <c r="E18" t="inlineStr">
        <is>
          <t>KALMAR</t>
        </is>
      </c>
      <c r="G18" t="n">
        <v>1.9</v>
      </c>
      <c r="H18" t="n">
        <v>5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Barbastell
Brunlångöra
Fransfladdermus
Nordfladdermus
Dvärgpipistrell</t>
        </is>
      </c>
      <c r="S18">
        <f>HYPERLINK("https://klasma.github.io/Logging_0880/artfynd/A 12935-2026 artfynd.xlsx", "A 12935-2026")</f>
        <v/>
      </c>
      <c r="T18">
        <f>HYPERLINK("https://klasma.github.io/Logging_0880/kartor/A 12935-2026 karta.png", "A 12935-2026")</f>
        <v/>
      </c>
      <c r="V18">
        <f>HYPERLINK("https://klasma.github.io/Logging_0880/klagomål/A 12935-2026 FSC-klagomål.docx", "A 12935-2026")</f>
        <v/>
      </c>
      <c r="W18">
        <f>HYPERLINK("https://klasma.github.io/Logging_0880/klagomålsmail/A 12935-2026 FSC-klagomål mail.docx", "A 12935-2026")</f>
        <v/>
      </c>
      <c r="X18">
        <f>HYPERLINK("https://klasma.github.io/Logging_0880/tillsyn/A 12935-2026 tillsynsbegäran.docx", "A 12935-2026")</f>
        <v/>
      </c>
      <c r="Y18">
        <f>HYPERLINK("https://klasma.github.io/Logging_0880/tillsynsmail/A 12935-2026 tillsynsbegäran mail.docx", "A 12935-2026")</f>
        <v/>
      </c>
    </row>
    <row r="19" ht="15" customHeight="1">
      <c r="A19" t="inlineStr">
        <is>
          <t>A 58919-2021</t>
        </is>
      </c>
      <c r="B19" s="1" t="n">
        <v>44489</v>
      </c>
      <c r="C19" s="1" t="n">
        <v>46194</v>
      </c>
      <c r="D19" t="inlineStr">
        <is>
          <t>KALMAR LÄN</t>
        </is>
      </c>
      <c r="E19" t="inlineStr">
        <is>
          <t>KALMAR</t>
        </is>
      </c>
      <c r="G19" t="n">
        <v>7</v>
      </c>
      <c r="H19" t="n">
        <v>2</v>
      </c>
      <c r="I19" t="n">
        <v>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3</v>
      </c>
      <c r="P19" t="n">
        <v>3</v>
      </c>
      <c r="Q19" t="n">
        <v>4</v>
      </c>
      <c r="R19" s="2" t="inlineStr">
        <is>
          <t>Tallharticka
Knärot
Sandödla
Blomkålssvamp</t>
        </is>
      </c>
      <c r="S19">
        <f>HYPERLINK("https://klasma.github.io/Logging_0880/artfynd/A 58919-2021 artfynd.xlsx", "A 58919-2021")</f>
        <v/>
      </c>
      <c r="T19">
        <f>HYPERLINK("https://klasma.github.io/Logging_0880/kartor/A 58919-2021 karta.png", "A 58919-2021")</f>
        <v/>
      </c>
      <c r="U19">
        <f>HYPERLINK("https://klasma.github.io/Logging_0880/knärot/A 58919-2021 karta knärot.png", "A 58919-2021")</f>
        <v/>
      </c>
      <c r="V19">
        <f>HYPERLINK("https://klasma.github.io/Logging_0880/klagomål/A 58919-2021 FSC-klagomål.docx", "A 58919-2021")</f>
        <v/>
      </c>
      <c r="W19">
        <f>HYPERLINK("https://klasma.github.io/Logging_0880/klagomålsmail/A 58919-2021 FSC-klagomål mail.docx", "A 58919-2021")</f>
        <v/>
      </c>
      <c r="X19">
        <f>HYPERLINK("https://klasma.github.io/Logging_0880/tillsyn/A 58919-2021 tillsynsbegäran.docx", "A 58919-2021")</f>
        <v/>
      </c>
      <c r="Y19">
        <f>HYPERLINK("https://klasma.github.io/Logging_0880/tillsynsmail/A 58919-2021 tillsynsbegäran mail.docx", "A 58919-2021")</f>
        <v/>
      </c>
    </row>
    <row r="20" ht="15" customHeight="1">
      <c r="A20" t="inlineStr">
        <is>
          <t>A 3916-2025</t>
        </is>
      </c>
      <c r="B20" s="1" t="n">
        <v>45684</v>
      </c>
      <c r="C20" s="1" t="n">
        <v>46194</v>
      </c>
      <c r="D20" t="inlineStr">
        <is>
          <t>KALMAR LÄN</t>
        </is>
      </c>
      <c r="E20" t="inlineStr">
        <is>
          <t>KALMAR</t>
        </is>
      </c>
      <c r="G20" t="n">
        <v>19.7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Nordfladdermus
Dvärgpipistrell
Större brunfladdermus</t>
        </is>
      </c>
      <c r="S20">
        <f>HYPERLINK("https://klasma.github.io/Logging_0880/artfynd/A 3916-2025 artfynd.xlsx", "A 3916-2025")</f>
        <v/>
      </c>
      <c r="T20">
        <f>HYPERLINK("https://klasma.github.io/Logging_0880/kartor/A 3916-2025 karta.png", "A 3916-2025")</f>
        <v/>
      </c>
      <c r="V20">
        <f>HYPERLINK("https://klasma.github.io/Logging_0880/klagomål/A 3916-2025 FSC-klagomål.docx", "A 3916-2025")</f>
        <v/>
      </c>
      <c r="W20">
        <f>HYPERLINK("https://klasma.github.io/Logging_0880/klagomålsmail/A 3916-2025 FSC-klagomål mail.docx", "A 3916-2025")</f>
        <v/>
      </c>
      <c r="X20">
        <f>HYPERLINK("https://klasma.github.io/Logging_0880/tillsyn/A 3916-2025 tillsynsbegäran.docx", "A 3916-2025")</f>
        <v/>
      </c>
      <c r="Y20">
        <f>HYPERLINK("https://klasma.github.io/Logging_0880/tillsynsmail/A 3916-2025 tillsynsbegäran mail.docx", "A 3916-2025")</f>
        <v/>
      </c>
    </row>
    <row r="21" ht="15" customHeight="1">
      <c r="A21" t="inlineStr">
        <is>
          <t>A 11409-2023</t>
        </is>
      </c>
      <c r="B21" s="1" t="n">
        <v>44993</v>
      </c>
      <c r="C21" s="1" t="n">
        <v>46194</v>
      </c>
      <c r="D21" t="inlineStr">
        <is>
          <t>KALMAR LÄN</t>
        </is>
      </c>
      <c r="E21" t="inlineStr">
        <is>
          <t>KALMAR</t>
        </is>
      </c>
      <c r="G21" t="n">
        <v>7.6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Gullvivefjäril
Gullklöver
Nordfladdermus
Ekoxe</t>
        </is>
      </c>
      <c r="S21">
        <f>HYPERLINK("https://klasma.github.io/Logging_0880/artfynd/A 11409-2023 artfynd.xlsx", "A 11409-2023")</f>
        <v/>
      </c>
      <c r="T21">
        <f>HYPERLINK("https://klasma.github.io/Logging_0880/kartor/A 11409-2023 karta.png", "A 11409-2023")</f>
        <v/>
      </c>
      <c r="V21">
        <f>HYPERLINK("https://klasma.github.io/Logging_0880/klagomål/A 11409-2023 FSC-klagomål.docx", "A 11409-2023")</f>
        <v/>
      </c>
      <c r="W21">
        <f>HYPERLINK("https://klasma.github.io/Logging_0880/klagomålsmail/A 11409-2023 FSC-klagomål mail.docx", "A 11409-2023")</f>
        <v/>
      </c>
      <c r="X21">
        <f>HYPERLINK("https://klasma.github.io/Logging_0880/tillsyn/A 11409-2023 tillsynsbegäran.docx", "A 11409-2023")</f>
        <v/>
      </c>
      <c r="Y21">
        <f>HYPERLINK("https://klasma.github.io/Logging_0880/tillsynsmail/A 11409-2023 tillsynsbegäran mail.docx", "A 11409-2023")</f>
        <v/>
      </c>
    </row>
    <row r="22" ht="15" customHeight="1">
      <c r="A22" t="inlineStr">
        <is>
          <t>A 9055-2023</t>
        </is>
      </c>
      <c r="B22" s="1" t="n">
        <v>44979</v>
      </c>
      <c r="C22" s="1" t="n">
        <v>46194</v>
      </c>
      <c r="D22" t="inlineStr">
        <is>
          <t>KALMAR LÄN</t>
        </is>
      </c>
      <c r="E22" t="inlineStr">
        <is>
          <t>KALMAR</t>
        </is>
      </c>
      <c r="G22" t="n">
        <v>3</v>
      </c>
      <c r="H22" t="n">
        <v>4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Nordfladdermus
Dvärgpipistrell
Större brunfladdermus
Vattenfladdermus</t>
        </is>
      </c>
      <c r="S22">
        <f>HYPERLINK("https://klasma.github.io/Logging_0880/artfynd/A 9055-2023 artfynd.xlsx", "A 9055-2023")</f>
        <v/>
      </c>
      <c r="T22">
        <f>HYPERLINK("https://klasma.github.io/Logging_0880/kartor/A 9055-2023 karta.png", "A 9055-2023")</f>
        <v/>
      </c>
      <c r="V22">
        <f>HYPERLINK("https://klasma.github.io/Logging_0880/klagomål/A 9055-2023 FSC-klagomål.docx", "A 9055-2023")</f>
        <v/>
      </c>
      <c r="W22">
        <f>HYPERLINK("https://klasma.github.io/Logging_0880/klagomålsmail/A 9055-2023 FSC-klagomål mail.docx", "A 9055-2023")</f>
        <v/>
      </c>
      <c r="X22">
        <f>HYPERLINK("https://klasma.github.io/Logging_0880/tillsyn/A 9055-2023 tillsynsbegäran.docx", "A 9055-2023")</f>
        <v/>
      </c>
      <c r="Y22">
        <f>HYPERLINK("https://klasma.github.io/Logging_0880/tillsynsmail/A 9055-2023 tillsynsbegäran mail.docx", "A 9055-2023")</f>
        <v/>
      </c>
    </row>
    <row r="23" ht="15" customHeight="1">
      <c r="A23" t="inlineStr">
        <is>
          <t>A 59457-2023</t>
        </is>
      </c>
      <c r="B23" s="1" t="n">
        <v>45254</v>
      </c>
      <c r="C23" s="1" t="n">
        <v>46194</v>
      </c>
      <c r="D23" t="inlineStr">
        <is>
          <t>KALMAR LÄN</t>
        </is>
      </c>
      <c r="E23" t="inlineStr">
        <is>
          <t>KALMAR</t>
        </is>
      </c>
      <c r="G23" t="n">
        <v>3.3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Jungfrulin
Solvända
Vårstarr
Nattviol</t>
        </is>
      </c>
      <c r="S23">
        <f>HYPERLINK("https://klasma.github.io/Logging_0880/artfynd/A 59457-2023 artfynd.xlsx", "A 59457-2023")</f>
        <v/>
      </c>
      <c r="T23">
        <f>HYPERLINK("https://klasma.github.io/Logging_0880/kartor/A 59457-2023 karta.png", "A 59457-2023")</f>
        <v/>
      </c>
      <c r="V23">
        <f>HYPERLINK("https://klasma.github.io/Logging_0880/klagomål/A 59457-2023 FSC-klagomål.docx", "A 59457-2023")</f>
        <v/>
      </c>
      <c r="W23">
        <f>HYPERLINK("https://klasma.github.io/Logging_0880/klagomålsmail/A 59457-2023 FSC-klagomål mail.docx", "A 59457-2023")</f>
        <v/>
      </c>
      <c r="X23">
        <f>HYPERLINK("https://klasma.github.io/Logging_0880/tillsyn/A 59457-2023 tillsynsbegäran.docx", "A 59457-2023")</f>
        <v/>
      </c>
      <c r="Y23">
        <f>HYPERLINK("https://klasma.github.io/Logging_0880/tillsynsmail/A 59457-2023 tillsynsbegäran mail.docx", "A 59457-2023")</f>
        <v/>
      </c>
    </row>
    <row r="24" ht="15" customHeight="1">
      <c r="A24" t="inlineStr">
        <is>
          <t>A 47451-2022</t>
        </is>
      </c>
      <c r="B24" s="1" t="n">
        <v>44853</v>
      </c>
      <c r="C24" s="1" t="n">
        <v>46194</v>
      </c>
      <c r="D24" t="inlineStr">
        <is>
          <t>KALMAR LÄN</t>
        </is>
      </c>
      <c r="E24" t="inlineStr">
        <is>
          <t>KALMAR</t>
        </is>
      </c>
      <c r="G24" t="n">
        <v>3.8</v>
      </c>
      <c r="H24" t="n">
        <v>1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Grönpyrola
Murgröna
Västlig hakmossa</t>
        </is>
      </c>
      <c r="S24">
        <f>HYPERLINK("https://klasma.github.io/Logging_0880/artfynd/A 47451-2022 artfynd.xlsx", "A 47451-2022")</f>
        <v/>
      </c>
      <c r="T24">
        <f>HYPERLINK("https://klasma.github.io/Logging_0880/kartor/A 47451-2022 karta.png", "A 47451-2022")</f>
        <v/>
      </c>
      <c r="U24">
        <f>HYPERLINK("https://klasma.github.io/Logging_0880/knärot/A 47451-2022 karta knärot.png", "A 47451-2022")</f>
        <v/>
      </c>
      <c r="V24">
        <f>HYPERLINK("https://klasma.github.io/Logging_0880/klagomål/A 47451-2022 FSC-klagomål.docx", "A 47451-2022")</f>
        <v/>
      </c>
      <c r="W24">
        <f>HYPERLINK("https://klasma.github.io/Logging_0880/klagomålsmail/A 47451-2022 FSC-klagomål mail.docx", "A 47451-2022")</f>
        <v/>
      </c>
      <c r="X24">
        <f>HYPERLINK("https://klasma.github.io/Logging_0880/tillsyn/A 47451-2022 tillsynsbegäran.docx", "A 47451-2022")</f>
        <v/>
      </c>
      <c r="Y24">
        <f>HYPERLINK("https://klasma.github.io/Logging_0880/tillsynsmail/A 47451-2022 tillsynsbegäran mail.docx", "A 47451-2022")</f>
        <v/>
      </c>
    </row>
    <row r="25" ht="15" customHeight="1">
      <c r="A25" t="inlineStr">
        <is>
          <t>A 55531-2021</t>
        </is>
      </c>
      <c r="B25" s="1" t="n">
        <v>44475</v>
      </c>
      <c r="C25" s="1" t="n">
        <v>46194</v>
      </c>
      <c r="D25" t="inlineStr">
        <is>
          <t>KALMAR LÄN</t>
        </is>
      </c>
      <c r="E25" t="inlineStr">
        <is>
          <t>KALMAR</t>
        </is>
      </c>
      <c r="F25" t="inlineStr">
        <is>
          <t>Kommuner</t>
        </is>
      </c>
      <c r="G25" t="n">
        <v>2.8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Bredbrämad bastardsvärmare
Spillkråka
Kungsfågel</t>
        </is>
      </c>
      <c r="S25">
        <f>HYPERLINK("https://klasma.github.io/Logging_0880/artfynd/A 55531-2021 artfynd.xlsx", "A 55531-2021")</f>
        <v/>
      </c>
      <c r="T25">
        <f>HYPERLINK("https://klasma.github.io/Logging_0880/kartor/A 55531-2021 karta.png", "A 55531-2021")</f>
        <v/>
      </c>
      <c r="V25">
        <f>HYPERLINK("https://klasma.github.io/Logging_0880/klagomål/A 55531-2021 FSC-klagomål.docx", "A 55531-2021")</f>
        <v/>
      </c>
      <c r="W25">
        <f>HYPERLINK("https://klasma.github.io/Logging_0880/klagomålsmail/A 55531-2021 FSC-klagomål mail.docx", "A 55531-2021")</f>
        <v/>
      </c>
      <c r="X25">
        <f>HYPERLINK("https://klasma.github.io/Logging_0880/tillsyn/A 55531-2021 tillsynsbegäran.docx", "A 55531-2021")</f>
        <v/>
      </c>
      <c r="Y25">
        <f>HYPERLINK("https://klasma.github.io/Logging_0880/tillsynsmail/A 55531-2021 tillsynsbegäran mail.docx", "A 55531-2021")</f>
        <v/>
      </c>
      <c r="Z25">
        <f>HYPERLINK("https://klasma.github.io/Logging_0880/fåglar/A 55531-2021 prioriterade fågelarter.docx", "A 55531-2021")</f>
        <v/>
      </c>
    </row>
    <row r="26" ht="15" customHeight="1">
      <c r="A26" t="inlineStr">
        <is>
          <t>A 58927-2021</t>
        </is>
      </c>
      <c r="B26" s="1" t="n">
        <v>44489</v>
      </c>
      <c r="C26" s="1" t="n">
        <v>46194</v>
      </c>
      <c r="D26" t="inlineStr">
        <is>
          <t>KALMAR LÄN</t>
        </is>
      </c>
      <c r="E26" t="inlineStr">
        <is>
          <t>KALMAR</t>
        </is>
      </c>
      <c r="G26" t="n">
        <v>3.6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Svinrot
Talltita
Tjäder</t>
        </is>
      </c>
      <c r="S26">
        <f>HYPERLINK("https://klasma.github.io/Logging_0880/artfynd/A 58927-2021 artfynd.xlsx", "A 58927-2021")</f>
        <v/>
      </c>
      <c r="T26">
        <f>HYPERLINK("https://klasma.github.io/Logging_0880/kartor/A 58927-2021 karta.png", "A 58927-2021")</f>
        <v/>
      </c>
      <c r="V26">
        <f>HYPERLINK("https://klasma.github.io/Logging_0880/klagomål/A 58927-2021 FSC-klagomål.docx", "A 58927-2021")</f>
        <v/>
      </c>
      <c r="W26">
        <f>HYPERLINK("https://klasma.github.io/Logging_0880/klagomålsmail/A 58927-2021 FSC-klagomål mail.docx", "A 58927-2021")</f>
        <v/>
      </c>
      <c r="X26">
        <f>HYPERLINK("https://klasma.github.io/Logging_0880/tillsyn/A 58927-2021 tillsynsbegäran.docx", "A 58927-2021")</f>
        <v/>
      </c>
      <c r="Y26">
        <f>HYPERLINK("https://klasma.github.io/Logging_0880/tillsynsmail/A 58927-2021 tillsynsbegäran mail.docx", "A 58927-2021")</f>
        <v/>
      </c>
      <c r="Z26">
        <f>HYPERLINK("https://klasma.github.io/Logging_0880/fåglar/A 58927-2021 prioriterade fågelarter.docx", "A 58927-2021")</f>
        <v/>
      </c>
    </row>
    <row r="27" ht="15" customHeight="1">
      <c r="A27" t="inlineStr">
        <is>
          <t>A 4538-2023</t>
        </is>
      </c>
      <c r="B27" s="1" t="n">
        <v>44951</v>
      </c>
      <c r="C27" s="1" t="n">
        <v>46194</v>
      </c>
      <c r="D27" t="inlineStr">
        <is>
          <t>KALMAR LÄN</t>
        </is>
      </c>
      <c r="E27" t="inlineStr">
        <is>
          <t>KALMAR</t>
        </is>
      </c>
      <c r="G27" t="n">
        <v>3.2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Bronshjon
Kornig nållav
Kornknutmossa</t>
        </is>
      </c>
      <c r="S27">
        <f>HYPERLINK("https://klasma.github.io/Logging_0880/artfynd/A 4538-2023 artfynd.xlsx", "A 4538-2023")</f>
        <v/>
      </c>
      <c r="T27">
        <f>HYPERLINK("https://klasma.github.io/Logging_0880/kartor/A 4538-2023 karta.png", "A 4538-2023")</f>
        <v/>
      </c>
      <c r="V27">
        <f>HYPERLINK("https://klasma.github.io/Logging_0880/klagomål/A 4538-2023 FSC-klagomål.docx", "A 4538-2023")</f>
        <v/>
      </c>
      <c r="W27">
        <f>HYPERLINK("https://klasma.github.io/Logging_0880/klagomålsmail/A 4538-2023 FSC-klagomål mail.docx", "A 4538-2023")</f>
        <v/>
      </c>
      <c r="X27">
        <f>HYPERLINK("https://klasma.github.io/Logging_0880/tillsyn/A 4538-2023 tillsynsbegäran.docx", "A 4538-2023")</f>
        <v/>
      </c>
      <c r="Y27">
        <f>HYPERLINK("https://klasma.github.io/Logging_0880/tillsynsmail/A 4538-2023 tillsynsbegäran mail.docx", "A 4538-2023")</f>
        <v/>
      </c>
    </row>
    <row r="28" ht="15" customHeight="1">
      <c r="A28" t="inlineStr">
        <is>
          <t>A 39253-2021</t>
        </is>
      </c>
      <c r="B28" s="1" t="n">
        <v>44413</v>
      </c>
      <c r="C28" s="1" t="n">
        <v>46194</v>
      </c>
      <c r="D28" t="inlineStr">
        <is>
          <t>KALMAR LÄN</t>
        </is>
      </c>
      <c r="E28" t="inlineStr">
        <is>
          <t>KALMAR</t>
        </is>
      </c>
      <c r="G28" t="n">
        <v>4.4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Större brunfladdermus</t>
        </is>
      </c>
      <c r="S28">
        <f>HYPERLINK("https://klasma.github.io/Logging_0880/artfynd/A 39253-2021 artfynd.xlsx", "A 39253-2021")</f>
        <v/>
      </c>
      <c r="T28">
        <f>HYPERLINK("https://klasma.github.io/Logging_0880/kartor/A 39253-2021 karta.png", "A 39253-2021")</f>
        <v/>
      </c>
      <c r="V28">
        <f>HYPERLINK("https://klasma.github.io/Logging_0880/klagomål/A 39253-2021 FSC-klagomål.docx", "A 39253-2021")</f>
        <v/>
      </c>
      <c r="W28">
        <f>HYPERLINK("https://klasma.github.io/Logging_0880/klagomålsmail/A 39253-2021 FSC-klagomål mail.docx", "A 39253-2021")</f>
        <v/>
      </c>
      <c r="X28">
        <f>HYPERLINK("https://klasma.github.io/Logging_0880/tillsyn/A 39253-2021 tillsynsbegäran.docx", "A 39253-2021")</f>
        <v/>
      </c>
      <c r="Y28">
        <f>HYPERLINK("https://klasma.github.io/Logging_0880/tillsynsmail/A 39253-2021 tillsynsbegäran mail.docx", "A 39253-2021")</f>
        <v/>
      </c>
    </row>
    <row r="29" ht="15" customHeight="1">
      <c r="A29" t="inlineStr">
        <is>
          <t>A 32915-2022</t>
        </is>
      </c>
      <c r="B29" s="1" t="n">
        <v>44784</v>
      </c>
      <c r="C29" s="1" t="n">
        <v>46194</v>
      </c>
      <c r="D29" t="inlineStr">
        <is>
          <t>KALMAR LÄN</t>
        </is>
      </c>
      <c r="E29" t="inlineStr">
        <is>
          <t>KALMAR</t>
        </is>
      </c>
      <c r="G29" t="n">
        <v>3.8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Svinrot
Blåmossa
Blåsippa</t>
        </is>
      </c>
      <c r="S29">
        <f>HYPERLINK("https://klasma.github.io/Logging_0880/artfynd/A 32915-2022 artfynd.xlsx", "A 32915-2022")</f>
        <v/>
      </c>
      <c r="T29">
        <f>HYPERLINK("https://klasma.github.io/Logging_0880/kartor/A 32915-2022 karta.png", "A 32915-2022")</f>
        <v/>
      </c>
      <c r="V29">
        <f>HYPERLINK("https://klasma.github.io/Logging_0880/klagomål/A 32915-2022 FSC-klagomål.docx", "A 32915-2022")</f>
        <v/>
      </c>
      <c r="W29">
        <f>HYPERLINK("https://klasma.github.io/Logging_0880/klagomålsmail/A 32915-2022 FSC-klagomål mail.docx", "A 32915-2022")</f>
        <v/>
      </c>
      <c r="X29">
        <f>HYPERLINK("https://klasma.github.io/Logging_0880/tillsyn/A 32915-2022 tillsynsbegäran.docx", "A 32915-2022")</f>
        <v/>
      </c>
      <c r="Y29">
        <f>HYPERLINK("https://klasma.github.io/Logging_0880/tillsynsmail/A 32915-2022 tillsynsbegäran mail.docx", "A 32915-2022")</f>
        <v/>
      </c>
    </row>
    <row r="30" ht="15" customHeight="1">
      <c r="A30" t="inlineStr">
        <is>
          <t>A 33057-2022</t>
        </is>
      </c>
      <c r="B30" s="1" t="n">
        <v>44785</v>
      </c>
      <c r="C30" s="1" t="n">
        <v>46194</v>
      </c>
      <c r="D30" t="inlineStr">
        <is>
          <t>KALMAR LÄN</t>
        </is>
      </c>
      <c r="E30" t="inlineStr">
        <is>
          <t>KALMAR</t>
        </is>
      </c>
      <c r="F30" t="inlineStr">
        <is>
          <t>Kyrkan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Blåmossa
Grovticka
Grönpyrola</t>
        </is>
      </c>
      <c r="S30">
        <f>HYPERLINK("https://klasma.github.io/Logging_0880/artfynd/A 33057-2022 artfynd.xlsx", "A 33057-2022")</f>
        <v/>
      </c>
      <c r="T30">
        <f>HYPERLINK("https://klasma.github.io/Logging_0880/kartor/A 33057-2022 karta.png", "A 33057-2022")</f>
        <v/>
      </c>
      <c r="V30">
        <f>HYPERLINK("https://klasma.github.io/Logging_0880/klagomål/A 33057-2022 FSC-klagomål.docx", "A 33057-2022")</f>
        <v/>
      </c>
      <c r="W30">
        <f>HYPERLINK("https://klasma.github.io/Logging_0880/klagomålsmail/A 33057-2022 FSC-klagomål mail.docx", "A 33057-2022")</f>
        <v/>
      </c>
      <c r="X30">
        <f>HYPERLINK("https://klasma.github.io/Logging_0880/tillsyn/A 33057-2022 tillsynsbegäran.docx", "A 33057-2022")</f>
        <v/>
      </c>
      <c r="Y30">
        <f>HYPERLINK("https://klasma.github.io/Logging_0880/tillsynsmail/A 33057-2022 tillsynsbegäran mail.docx", "A 33057-2022")</f>
        <v/>
      </c>
    </row>
    <row r="31" ht="15" customHeight="1">
      <c r="A31" t="inlineStr">
        <is>
          <t>A 18881-2023</t>
        </is>
      </c>
      <c r="B31" s="1" t="n">
        <v>45044</v>
      </c>
      <c r="C31" s="1" t="n">
        <v>46194</v>
      </c>
      <c r="D31" t="inlineStr">
        <is>
          <t>KALMAR LÄN</t>
        </is>
      </c>
      <c r="E31" t="inlineStr">
        <is>
          <t>KALMAR</t>
        </is>
      </c>
      <c r="G31" t="n">
        <v>1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Bredbrämad bastardsvärmare
Mindre bastardsvärmare
Gullviva</t>
        </is>
      </c>
      <c r="S31">
        <f>HYPERLINK("https://klasma.github.io/Logging_0880/artfynd/A 18881-2023 artfynd.xlsx", "A 18881-2023")</f>
        <v/>
      </c>
      <c r="T31">
        <f>HYPERLINK("https://klasma.github.io/Logging_0880/kartor/A 18881-2023 karta.png", "A 18881-2023")</f>
        <v/>
      </c>
      <c r="V31">
        <f>HYPERLINK("https://klasma.github.io/Logging_0880/klagomål/A 18881-2023 FSC-klagomål.docx", "A 18881-2023")</f>
        <v/>
      </c>
      <c r="W31">
        <f>HYPERLINK("https://klasma.github.io/Logging_0880/klagomålsmail/A 18881-2023 FSC-klagomål mail.docx", "A 18881-2023")</f>
        <v/>
      </c>
      <c r="X31">
        <f>HYPERLINK("https://klasma.github.io/Logging_0880/tillsyn/A 18881-2023 tillsynsbegäran.docx", "A 18881-2023")</f>
        <v/>
      </c>
      <c r="Y31">
        <f>HYPERLINK("https://klasma.github.io/Logging_0880/tillsynsmail/A 18881-2023 tillsynsbegäran mail.docx", "A 18881-2023")</f>
        <v/>
      </c>
    </row>
    <row r="32" ht="15" customHeight="1">
      <c r="A32" t="inlineStr">
        <is>
          <t>A 31781-2023</t>
        </is>
      </c>
      <c r="B32" s="1" t="n">
        <v>45118</v>
      </c>
      <c r="C32" s="1" t="n">
        <v>46194</v>
      </c>
      <c r="D32" t="inlineStr">
        <is>
          <t>KALMAR LÄN</t>
        </is>
      </c>
      <c r="E32" t="inlineStr">
        <is>
          <t>KALMAR</t>
        </is>
      </c>
      <c r="G32" t="n">
        <v>7.5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Läderbagge
Gammelekslav
Grå skärelav</t>
        </is>
      </c>
      <c r="S32">
        <f>HYPERLINK("https://klasma.github.io/Logging_0880/artfynd/A 31781-2023 artfynd.xlsx", "A 31781-2023")</f>
        <v/>
      </c>
      <c r="T32">
        <f>HYPERLINK("https://klasma.github.io/Logging_0880/kartor/A 31781-2023 karta.png", "A 31781-2023")</f>
        <v/>
      </c>
      <c r="V32">
        <f>HYPERLINK("https://klasma.github.io/Logging_0880/klagomål/A 31781-2023 FSC-klagomål.docx", "A 31781-2023")</f>
        <v/>
      </c>
      <c r="W32">
        <f>HYPERLINK("https://klasma.github.io/Logging_0880/klagomålsmail/A 31781-2023 FSC-klagomål mail.docx", "A 31781-2023")</f>
        <v/>
      </c>
      <c r="X32">
        <f>HYPERLINK("https://klasma.github.io/Logging_0880/tillsyn/A 31781-2023 tillsynsbegäran.docx", "A 31781-2023")</f>
        <v/>
      </c>
      <c r="Y32">
        <f>HYPERLINK("https://klasma.github.io/Logging_0880/tillsynsmail/A 31781-2023 tillsynsbegäran mail.docx", "A 31781-2023")</f>
        <v/>
      </c>
    </row>
    <row r="33" ht="15" customHeight="1">
      <c r="A33" t="inlineStr">
        <is>
          <t>A 9858-2024</t>
        </is>
      </c>
      <c r="B33" s="1" t="n">
        <v>45363</v>
      </c>
      <c r="C33" s="1" t="n">
        <v>46194</v>
      </c>
      <c r="D33" t="inlineStr">
        <is>
          <t>KALMAR LÄN</t>
        </is>
      </c>
      <c r="E33" t="inlineStr">
        <is>
          <t>KALMAR</t>
        </is>
      </c>
      <c r="G33" t="n">
        <v>1.8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Tallkötticka
Guldlockmossa</t>
        </is>
      </c>
      <c r="S33">
        <f>HYPERLINK("https://klasma.github.io/Logging_0880/artfynd/A 9858-2024 artfynd.xlsx", "A 9858-2024")</f>
        <v/>
      </c>
      <c r="T33">
        <f>HYPERLINK("https://klasma.github.io/Logging_0880/kartor/A 9858-2024 karta.png", "A 9858-2024")</f>
        <v/>
      </c>
      <c r="U33">
        <f>HYPERLINK("https://klasma.github.io/Logging_0880/knärot/A 9858-2024 karta knärot.png", "A 9858-2024")</f>
        <v/>
      </c>
      <c r="V33">
        <f>HYPERLINK("https://klasma.github.io/Logging_0880/klagomål/A 9858-2024 FSC-klagomål.docx", "A 9858-2024")</f>
        <v/>
      </c>
      <c r="W33">
        <f>HYPERLINK("https://klasma.github.io/Logging_0880/klagomålsmail/A 9858-2024 FSC-klagomål mail.docx", "A 9858-2024")</f>
        <v/>
      </c>
      <c r="X33">
        <f>HYPERLINK("https://klasma.github.io/Logging_0880/tillsyn/A 9858-2024 tillsynsbegäran.docx", "A 9858-2024")</f>
        <v/>
      </c>
      <c r="Y33">
        <f>HYPERLINK("https://klasma.github.io/Logging_0880/tillsynsmail/A 9858-2024 tillsynsbegäran mail.docx", "A 9858-2024")</f>
        <v/>
      </c>
    </row>
    <row r="34" ht="15" customHeight="1">
      <c r="A34" t="inlineStr">
        <is>
          <t>A 1933-2022</t>
        </is>
      </c>
      <c r="B34" s="1" t="n">
        <v>44575</v>
      </c>
      <c r="C34" s="1" t="n">
        <v>46194</v>
      </c>
      <c r="D34" t="inlineStr">
        <is>
          <t>KALMAR LÄN</t>
        </is>
      </c>
      <c r="E34" t="inlineStr">
        <is>
          <t>KALMAR</t>
        </is>
      </c>
      <c r="G34" t="n">
        <v>3.3</v>
      </c>
      <c r="H34" t="n">
        <v>1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Brandticka
Grovticka</t>
        </is>
      </c>
      <c r="S34">
        <f>HYPERLINK("https://klasma.github.io/Logging_0880/artfynd/A 1933-2022 artfynd.xlsx", "A 1933-2022")</f>
        <v/>
      </c>
      <c r="T34">
        <f>HYPERLINK("https://klasma.github.io/Logging_0880/kartor/A 1933-2022 karta.png", "A 1933-2022")</f>
        <v/>
      </c>
      <c r="U34">
        <f>HYPERLINK("https://klasma.github.io/Logging_0880/knärot/A 1933-2022 karta knärot.png", "A 1933-2022")</f>
        <v/>
      </c>
      <c r="V34">
        <f>HYPERLINK("https://klasma.github.io/Logging_0880/klagomål/A 1933-2022 FSC-klagomål.docx", "A 1933-2022")</f>
        <v/>
      </c>
      <c r="W34">
        <f>HYPERLINK("https://klasma.github.io/Logging_0880/klagomålsmail/A 1933-2022 FSC-klagomål mail.docx", "A 1933-2022")</f>
        <v/>
      </c>
      <c r="X34">
        <f>HYPERLINK("https://klasma.github.io/Logging_0880/tillsyn/A 1933-2022 tillsynsbegäran.docx", "A 1933-2022")</f>
        <v/>
      </c>
      <c r="Y34">
        <f>HYPERLINK("https://klasma.github.io/Logging_0880/tillsynsmail/A 1933-2022 tillsynsbegäran mail.docx", "A 1933-2022")</f>
        <v/>
      </c>
    </row>
    <row r="35" ht="15" customHeight="1">
      <c r="A35" t="inlineStr">
        <is>
          <t>A 50243-2025</t>
        </is>
      </c>
      <c r="B35" s="1" t="n">
        <v>45943</v>
      </c>
      <c r="C35" s="1" t="n">
        <v>46194</v>
      </c>
      <c r="D35" t="inlineStr">
        <is>
          <t>KALMAR LÄN</t>
        </is>
      </c>
      <c r="E35" t="inlineStr">
        <is>
          <t>KALMAR</t>
        </is>
      </c>
      <c r="G35" t="n">
        <v>0.8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Blåmossa
Spillkråka</t>
        </is>
      </c>
      <c r="S35">
        <f>HYPERLINK("https://klasma.github.io/Logging_0880/artfynd/A 50243-2025 artfynd.xlsx", "A 50243-2025")</f>
        <v/>
      </c>
      <c r="T35">
        <f>HYPERLINK("https://klasma.github.io/Logging_0880/kartor/A 50243-2025 karta.png", "A 50243-2025")</f>
        <v/>
      </c>
      <c r="U35">
        <f>HYPERLINK("https://klasma.github.io/Logging_0880/knärot/A 50243-2025 karta knärot.png", "A 50243-2025")</f>
        <v/>
      </c>
      <c r="V35">
        <f>HYPERLINK("https://klasma.github.io/Logging_0880/klagomål/A 50243-2025 FSC-klagomål.docx", "A 50243-2025")</f>
        <v/>
      </c>
      <c r="W35">
        <f>HYPERLINK("https://klasma.github.io/Logging_0880/klagomålsmail/A 50243-2025 FSC-klagomål mail.docx", "A 50243-2025")</f>
        <v/>
      </c>
      <c r="X35">
        <f>HYPERLINK("https://klasma.github.io/Logging_0880/tillsyn/A 50243-2025 tillsynsbegäran.docx", "A 50243-2025")</f>
        <v/>
      </c>
      <c r="Y35">
        <f>HYPERLINK("https://klasma.github.io/Logging_0880/tillsynsmail/A 50243-2025 tillsynsbegäran mail.docx", "A 50243-2025")</f>
        <v/>
      </c>
      <c r="Z35">
        <f>HYPERLINK("https://klasma.github.io/Logging_0880/fåglar/A 50243-2025 prioriterade fågelarter.docx", "A 50243-2025")</f>
        <v/>
      </c>
    </row>
    <row r="36" ht="15" customHeight="1">
      <c r="A36" t="inlineStr">
        <is>
          <t>A 31314-2023</t>
        </is>
      </c>
      <c r="B36" s="1" t="n">
        <v>45114</v>
      </c>
      <c r="C36" s="1" t="n">
        <v>46194</v>
      </c>
      <c r="D36" t="inlineStr">
        <is>
          <t>KALMAR LÄN</t>
        </is>
      </c>
      <c r="E36" t="inlineStr">
        <is>
          <t>KALMAR</t>
        </is>
      </c>
      <c r="G36" t="n">
        <v>5.5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Grönpyrola
Blåsippa
Nattskärra</t>
        </is>
      </c>
      <c r="S36">
        <f>HYPERLINK("https://klasma.github.io/Logging_0880/artfynd/A 31314-2023 artfynd.xlsx", "A 31314-2023")</f>
        <v/>
      </c>
      <c r="T36">
        <f>HYPERLINK("https://klasma.github.io/Logging_0880/kartor/A 31314-2023 karta.png", "A 31314-2023")</f>
        <v/>
      </c>
      <c r="V36">
        <f>HYPERLINK("https://klasma.github.io/Logging_0880/klagomål/A 31314-2023 FSC-klagomål.docx", "A 31314-2023")</f>
        <v/>
      </c>
      <c r="W36">
        <f>HYPERLINK("https://klasma.github.io/Logging_0880/klagomålsmail/A 31314-2023 FSC-klagomål mail.docx", "A 31314-2023")</f>
        <v/>
      </c>
      <c r="X36">
        <f>HYPERLINK("https://klasma.github.io/Logging_0880/tillsyn/A 31314-2023 tillsynsbegäran.docx", "A 31314-2023")</f>
        <v/>
      </c>
      <c r="Y36">
        <f>HYPERLINK("https://klasma.github.io/Logging_0880/tillsynsmail/A 31314-2023 tillsynsbegäran mail.docx", "A 31314-2023")</f>
        <v/>
      </c>
      <c r="Z36">
        <f>HYPERLINK("https://klasma.github.io/Logging_0880/fåglar/A 31314-2023 prioriterade fågelarter.docx", "A 31314-2023")</f>
        <v/>
      </c>
    </row>
    <row r="37" ht="15" customHeight="1">
      <c r="A37" t="inlineStr">
        <is>
          <t>A 33043-2022</t>
        </is>
      </c>
      <c r="B37" s="1" t="n">
        <v>44785</v>
      </c>
      <c r="C37" s="1" t="n">
        <v>46194</v>
      </c>
      <c r="D37" t="inlineStr">
        <is>
          <t>KALMAR LÄN</t>
        </is>
      </c>
      <c r="E37" t="inlineStr">
        <is>
          <t>KALMAR</t>
        </is>
      </c>
      <c r="F37" t="inlineStr">
        <is>
          <t>Kyrkan</t>
        </is>
      </c>
      <c r="G37" t="n">
        <v>1.6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Dropptaggsvamp
Murgröna</t>
        </is>
      </c>
      <c r="S37">
        <f>HYPERLINK("https://klasma.github.io/Logging_0880/artfynd/A 33043-2022 artfynd.xlsx", "A 33043-2022")</f>
        <v/>
      </c>
      <c r="T37">
        <f>HYPERLINK("https://klasma.github.io/Logging_0880/kartor/A 33043-2022 karta.png", "A 33043-2022")</f>
        <v/>
      </c>
      <c r="U37">
        <f>HYPERLINK("https://klasma.github.io/Logging_0880/knärot/A 33043-2022 karta knärot.png", "A 33043-2022")</f>
        <v/>
      </c>
      <c r="V37">
        <f>HYPERLINK("https://klasma.github.io/Logging_0880/klagomål/A 33043-2022 FSC-klagomål.docx", "A 33043-2022")</f>
        <v/>
      </c>
      <c r="W37">
        <f>HYPERLINK("https://klasma.github.io/Logging_0880/klagomålsmail/A 33043-2022 FSC-klagomål mail.docx", "A 33043-2022")</f>
        <v/>
      </c>
      <c r="X37">
        <f>HYPERLINK("https://klasma.github.io/Logging_0880/tillsyn/A 33043-2022 tillsynsbegäran.docx", "A 33043-2022")</f>
        <v/>
      </c>
      <c r="Y37">
        <f>HYPERLINK("https://klasma.github.io/Logging_0880/tillsynsmail/A 33043-2022 tillsynsbegäran mail.docx", "A 33043-2022")</f>
        <v/>
      </c>
    </row>
    <row r="38" ht="15" customHeight="1">
      <c r="A38" t="inlineStr">
        <is>
          <t>A 66092-2021</t>
        </is>
      </c>
      <c r="B38" s="1" t="n">
        <v>44517</v>
      </c>
      <c r="C38" s="1" t="n">
        <v>46194</v>
      </c>
      <c r="D38" t="inlineStr">
        <is>
          <t>KALMAR LÄN</t>
        </is>
      </c>
      <c r="E38" t="inlineStr">
        <is>
          <t>KALMAR</t>
        </is>
      </c>
      <c r="G38" t="n">
        <v>1.4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Spillkråka
Trädlärka</t>
        </is>
      </c>
      <c r="S38">
        <f>HYPERLINK("https://klasma.github.io/Logging_0880/artfynd/A 66092-2021 artfynd.xlsx", "A 66092-2021")</f>
        <v/>
      </c>
      <c r="T38">
        <f>HYPERLINK("https://klasma.github.io/Logging_0880/kartor/A 66092-2021 karta.png", "A 66092-2021")</f>
        <v/>
      </c>
      <c r="V38">
        <f>HYPERLINK("https://klasma.github.io/Logging_0880/klagomål/A 66092-2021 FSC-klagomål.docx", "A 66092-2021")</f>
        <v/>
      </c>
      <c r="W38">
        <f>HYPERLINK("https://klasma.github.io/Logging_0880/klagomålsmail/A 66092-2021 FSC-klagomål mail.docx", "A 66092-2021")</f>
        <v/>
      </c>
      <c r="X38">
        <f>HYPERLINK("https://klasma.github.io/Logging_0880/tillsyn/A 66092-2021 tillsynsbegäran.docx", "A 66092-2021")</f>
        <v/>
      </c>
      <c r="Y38">
        <f>HYPERLINK("https://klasma.github.io/Logging_0880/tillsynsmail/A 66092-2021 tillsynsbegäran mail.docx", "A 66092-2021")</f>
        <v/>
      </c>
      <c r="Z38">
        <f>HYPERLINK("https://klasma.github.io/Logging_0880/fåglar/A 66092-2021 prioriterade fågelarter.docx", "A 66092-2021")</f>
        <v/>
      </c>
    </row>
    <row r="39" ht="15" customHeight="1">
      <c r="A39" t="inlineStr">
        <is>
          <t>A 31665-2021</t>
        </is>
      </c>
      <c r="B39" s="1" t="n">
        <v>44369</v>
      </c>
      <c r="C39" s="1" t="n">
        <v>46194</v>
      </c>
      <c r="D39" t="inlineStr">
        <is>
          <t>KALMAR LÄN</t>
        </is>
      </c>
      <c r="E39" t="inlineStr">
        <is>
          <t>KALMAR</t>
        </is>
      </c>
      <c r="G39" t="n">
        <v>0.5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Trubbfjädermossa</t>
        </is>
      </c>
      <c r="S39">
        <f>HYPERLINK("https://klasma.github.io/Logging_0880/artfynd/A 31665-2021 artfynd.xlsx", "A 31665-2021")</f>
        <v/>
      </c>
      <c r="T39">
        <f>HYPERLINK("https://klasma.github.io/Logging_0880/kartor/A 31665-2021 karta.png", "A 31665-2021")</f>
        <v/>
      </c>
      <c r="V39">
        <f>HYPERLINK("https://klasma.github.io/Logging_0880/klagomål/A 31665-2021 FSC-klagomål.docx", "A 31665-2021")</f>
        <v/>
      </c>
      <c r="W39">
        <f>HYPERLINK("https://klasma.github.io/Logging_0880/klagomålsmail/A 31665-2021 FSC-klagomål mail.docx", "A 31665-2021")</f>
        <v/>
      </c>
      <c r="X39">
        <f>HYPERLINK("https://klasma.github.io/Logging_0880/tillsyn/A 31665-2021 tillsynsbegäran.docx", "A 31665-2021")</f>
        <v/>
      </c>
      <c r="Y39">
        <f>HYPERLINK("https://klasma.github.io/Logging_0880/tillsynsmail/A 31665-2021 tillsynsbegäran mail.docx", "A 31665-2021")</f>
        <v/>
      </c>
    </row>
    <row r="40" ht="15" customHeight="1">
      <c r="A40" t="inlineStr">
        <is>
          <t>A 27760-2024</t>
        </is>
      </c>
      <c r="B40" s="1" t="n">
        <v>45475</v>
      </c>
      <c r="C40" s="1" t="n">
        <v>46194</v>
      </c>
      <c r="D40" t="inlineStr">
        <is>
          <t>KALMAR LÄN</t>
        </is>
      </c>
      <c r="E40" t="inlineStr">
        <is>
          <t>KALMAR</t>
        </is>
      </c>
      <c r="G40" t="n">
        <v>3.3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Jungfrulin
Vitvaxing agg.</t>
        </is>
      </c>
      <c r="S40">
        <f>HYPERLINK("https://klasma.github.io/Logging_0880/artfynd/A 27760-2024 artfynd.xlsx", "A 27760-2024")</f>
        <v/>
      </c>
      <c r="T40">
        <f>HYPERLINK("https://klasma.github.io/Logging_0880/kartor/A 27760-2024 karta.png", "A 27760-2024")</f>
        <v/>
      </c>
      <c r="V40">
        <f>HYPERLINK("https://klasma.github.io/Logging_0880/klagomål/A 27760-2024 FSC-klagomål.docx", "A 27760-2024")</f>
        <v/>
      </c>
      <c r="W40">
        <f>HYPERLINK("https://klasma.github.io/Logging_0880/klagomålsmail/A 27760-2024 FSC-klagomål mail.docx", "A 27760-2024")</f>
        <v/>
      </c>
      <c r="X40">
        <f>HYPERLINK("https://klasma.github.io/Logging_0880/tillsyn/A 27760-2024 tillsynsbegäran.docx", "A 27760-2024")</f>
        <v/>
      </c>
      <c r="Y40">
        <f>HYPERLINK("https://klasma.github.io/Logging_0880/tillsynsmail/A 27760-2024 tillsynsbegäran mail.docx", "A 27760-2024")</f>
        <v/>
      </c>
    </row>
    <row r="41" ht="15" customHeight="1">
      <c r="A41" t="inlineStr">
        <is>
          <t>A 44711-2023</t>
        </is>
      </c>
      <c r="B41" s="1" t="n">
        <v>45190</v>
      </c>
      <c r="C41" s="1" t="n">
        <v>46194</v>
      </c>
      <c r="D41" t="inlineStr">
        <is>
          <t>KALMAR LÄN</t>
        </is>
      </c>
      <c r="E41" t="inlineStr">
        <is>
          <t>KALMAR</t>
        </is>
      </c>
      <c r="G41" t="n">
        <v>0.4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Gulsparv
Havsörn</t>
        </is>
      </c>
      <c r="S41">
        <f>HYPERLINK("https://klasma.github.io/Logging_0880/artfynd/A 44711-2023 artfynd.xlsx", "A 44711-2023")</f>
        <v/>
      </c>
      <c r="T41">
        <f>HYPERLINK("https://klasma.github.io/Logging_0880/kartor/A 44711-2023 karta.png", "A 44711-2023")</f>
        <v/>
      </c>
      <c r="V41">
        <f>HYPERLINK("https://klasma.github.io/Logging_0880/klagomål/A 44711-2023 FSC-klagomål.docx", "A 44711-2023")</f>
        <v/>
      </c>
      <c r="W41">
        <f>HYPERLINK("https://klasma.github.io/Logging_0880/klagomålsmail/A 44711-2023 FSC-klagomål mail.docx", "A 44711-2023")</f>
        <v/>
      </c>
      <c r="X41">
        <f>HYPERLINK("https://klasma.github.io/Logging_0880/tillsyn/A 44711-2023 tillsynsbegäran.docx", "A 44711-2023")</f>
        <v/>
      </c>
      <c r="Y41">
        <f>HYPERLINK("https://klasma.github.io/Logging_0880/tillsynsmail/A 44711-2023 tillsynsbegäran mail.docx", "A 44711-2023")</f>
        <v/>
      </c>
      <c r="Z41">
        <f>HYPERLINK("https://klasma.github.io/Logging_0880/fåglar/A 44711-2023 prioriterade fågelarter.docx", "A 44711-2023")</f>
        <v/>
      </c>
    </row>
    <row r="42" ht="15" customHeight="1">
      <c r="A42" t="inlineStr">
        <is>
          <t>A 31695-2023</t>
        </is>
      </c>
      <c r="B42" s="1" t="n">
        <v>45105</v>
      </c>
      <c r="C42" s="1" t="n">
        <v>46194</v>
      </c>
      <c r="D42" t="inlineStr">
        <is>
          <t>KALMAR LÄN</t>
        </is>
      </c>
      <c r="E42" t="inlineStr">
        <is>
          <t>KALMAR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Grovticka</t>
        </is>
      </c>
      <c r="S42">
        <f>HYPERLINK("https://klasma.github.io/Logging_0880/artfynd/A 31695-2023 artfynd.xlsx", "A 31695-2023")</f>
        <v/>
      </c>
      <c r="T42">
        <f>HYPERLINK("https://klasma.github.io/Logging_0880/kartor/A 31695-2023 karta.png", "A 31695-2023")</f>
        <v/>
      </c>
      <c r="V42">
        <f>HYPERLINK("https://klasma.github.io/Logging_0880/klagomål/A 31695-2023 FSC-klagomål.docx", "A 31695-2023")</f>
        <v/>
      </c>
      <c r="W42">
        <f>HYPERLINK("https://klasma.github.io/Logging_0880/klagomålsmail/A 31695-2023 FSC-klagomål mail.docx", "A 31695-2023")</f>
        <v/>
      </c>
      <c r="X42">
        <f>HYPERLINK("https://klasma.github.io/Logging_0880/tillsyn/A 31695-2023 tillsynsbegäran.docx", "A 31695-2023")</f>
        <v/>
      </c>
      <c r="Y42">
        <f>HYPERLINK("https://klasma.github.io/Logging_0880/tillsynsmail/A 31695-2023 tillsynsbegäran mail.docx", "A 31695-2023")</f>
        <v/>
      </c>
    </row>
    <row r="43" ht="15" customHeight="1">
      <c r="A43" t="inlineStr">
        <is>
          <t>A 65930-2021</t>
        </is>
      </c>
      <c r="B43" s="1" t="n">
        <v>44517</v>
      </c>
      <c r="C43" s="1" t="n">
        <v>46194</v>
      </c>
      <c r="D43" t="inlineStr">
        <is>
          <t>KALMAR LÄN</t>
        </is>
      </c>
      <c r="E43" t="inlineStr">
        <is>
          <t>KALMAR</t>
        </is>
      </c>
      <c r="G43" t="n">
        <v>1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Gulsparv
Spillkråka</t>
        </is>
      </c>
      <c r="S43">
        <f>HYPERLINK("https://klasma.github.io/Logging_0880/artfynd/A 65930-2021 artfynd.xlsx", "A 65930-2021")</f>
        <v/>
      </c>
      <c r="T43">
        <f>HYPERLINK("https://klasma.github.io/Logging_0880/kartor/A 65930-2021 karta.png", "A 65930-2021")</f>
        <v/>
      </c>
      <c r="V43">
        <f>HYPERLINK("https://klasma.github.io/Logging_0880/klagomål/A 65930-2021 FSC-klagomål.docx", "A 65930-2021")</f>
        <v/>
      </c>
      <c r="W43">
        <f>HYPERLINK("https://klasma.github.io/Logging_0880/klagomålsmail/A 65930-2021 FSC-klagomål mail.docx", "A 65930-2021")</f>
        <v/>
      </c>
      <c r="X43">
        <f>HYPERLINK("https://klasma.github.io/Logging_0880/tillsyn/A 65930-2021 tillsynsbegäran.docx", "A 65930-2021")</f>
        <v/>
      </c>
      <c r="Y43">
        <f>HYPERLINK("https://klasma.github.io/Logging_0880/tillsynsmail/A 65930-2021 tillsynsbegäran mail.docx", "A 65930-2021")</f>
        <v/>
      </c>
      <c r="Z43">
        <f>HYPERLINK("https://klasma.github.io/Logging_0880/fåglar/A 65930-2021 prioriterade fågelarter.docx", "A 65930-2021")</f>
        <v/>
      </c>
    </row>
    <row r="44" ht="15" customHeight="1">
      <c r="A44" t="inlineStr">
        <is>
          <t>A 56482-2023</t>
        </is>
      </c>
      <c r="B44" s="1" t="n">
        <v>45243</v>
      </c>
      <c r="C44" s="1" t="n">
        <v>46194</v>
      </c>
      <c r="D44" t="inlineStr">
        <is>
          <t>KALMAR LÄN</t>
        </is>
      </c>
      <c r="E44" t="inlineStr">
        <is>
          <t>KALMAR</t>
        </is>
      </c>
      <c r="G44" t="n">
        <v>2.7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Murgröna
Skogsödla</t>
        </is>
      </c>
      <c r="S44">
        <f>HYPERLINK("https://klasma.github.io/Logging_0880/artfynd/A 56482-2023 artfynd.xlsx", "A 56482-2023")</f>
        <v/>
      </c>
      <c r="T44">
        <f>HYPERLINK("https://klasma.github.io/Logging_0880/kartor/A 56482-2023 karta.png", "A 56482-2023")</f>
        <v/>
      </c>
      <c r="V44">
        <f>HYPERLINK("https://klasma.github.io/Logging_0880/klagomål/A 56482-2023 FSC-klagomål.docx", "A 56482-2023")</f>
        <v/>
      </c>
      <c r="W44">
        <f>HYPERLINK("https://klasma.github.io/Logging_0880/klagomålsmail/A 56482-2023 FSC-klagomål mail.docx", "A 56482-2023")</f>
        <v/>
      </c>
      <c r="X44">
        <f>HYPERLINK("https://klasma.github.io/Logging_0880/tillsyn/A 56482-2023 tillsynsbegäran.docx", "A 56482-2023")</f>
        <v/>
      </c>
      <c r="Y44">
        <f>HYPERLINK("https://klasma.github.io/Logging_0880/tillsynsmail/A 56482-2023 tillsynsbegäran mail.docx", "A 56482-2023")</f>
        <v/>
      </c>
    </row>
    <row r="45" ht="15" customHeight="1">
      <c r="A45" t="inlineStr">
        <is>
          <t>A 11732-2023</t>
        </is>
      </c>
      <c r="B45" s="1" t="n">
        <v>44994</v>
      </c>
      <c r="C45" s="1" t="n">
        <v>46194</v>
      </c>
      <c r="D45" t="inlineStr">
        <is>
          <t>KALMAR LÄN</t>
        </is>
      </c>
      <c r="E45" t="inlineStr">
        <is>
          <t>KALMAR</t>
        </is>
      </c>
      <c r="G45" t="n">
        <v>1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Hasselmus
Röd glada</t>
        </is>
      </c>
      <c r="S45">
        <f>HYPERLINK("https://klasma.github.io/Logging_0880/artfynd/A 11732-2023 artfynd.xlsx", "A 11732-2023")</f>
        <v/>
      </c>
      <c r="T45">
        <f>HYPERLINK("https://klasma.github.io/Logging_0880/kartor/A 11732-2023 karta.png", "A 11732-2023")</f>
        <v/>
      </c>
      <c r="V45">
        <f>HYPERLINK("https://klasma.github.io/Logging_0880/klagomål/A 11732-2023 FSC-klagomål.docx", "A 11732-2023")</f>
        <v/>
      </c>
      <c r="W45">
        <f>HYPERLINK("https://klasma.github.io/Logging_0880/klagomålsmail/A 11732-2023 FSC-klagomål mail.docx", "A 11732-2023")</f>
        <v/>
      </c>
      <c r="X45">
        <f>HYPERLINK("https://klasma.github.io/Logging_0880/tillsyn/A 11732-2023 tillsynsbegäran.docx", "A 11732-2023")</f>
        <v/>
      </c>
      <c r="Y45">
        <f>HYPERLINK("https://klasma.github.io/Logging_0880/tillsynsmail/A 11732-2023 tillsynsbegäran mail.docx", "A 11732-2023")</f>
        <v/>
      </c>
      <c r="Z45">
        <f>HYPERLINK("https://klasma.github.io/Logging_0880/fåglar/A 11732-2023 prioriterade fågelarter.docx", "A 11732-2023")</f>
        <v/>
      </c>
    </row>
    <row r="46" ht="15" customHeight="1">
      <c r="A46" t="inlineStr">
        <is>
          <t>A 11735-2023</t>
        </is>
      </c>
      <c r="B46" s="1" t="n">
        <v>44994</v>
      </c>
      <c r="C46" s="1" t="n">
        <v>46194</v>
      </c>
      <c r="D46" t="inlineStr">
        <is>
          <t>KALMAR LÄN</t>
        </is>
      </c>
      <c r="E46" t="inlineStr">
        <is>
          <t>KALMAR</t>
        </is>
      </c>
      <c r="G46" t="n">
        <v>1.1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Hasselsnok
Vanlig snok</t>
        </is>
      </c>
      <c r="S46">
        <f>HYPERLINK("https://klasma.github.io/Logging_0880/artfynd/A 11735-2023 artfynd.xlsx", "A 11735-2023")</f>
        <v/>
      </c>
      <c r="T46">
        <f>HYPERLINK("https://klasma.github.io/Logging_0880/kartor/A 11735-2023 karta.png", "A 11735-2023")</f>
        <v/>
      </c>
      <c r="V46">
        <f>HYPERLINK("https://klasma.github.io/Logging_0880/klagomål/A 11735-2023 FSC-klagomål.docx", "A 11735-2023")</f>
        <v/>
      </c>
      <c r="W46">
        <f>HYPERLINK("https://klasma.github.io/Logging_0880/klagomålsmail/A 11735-2023 FSC-klagomål mail.docx", "A 11735-2023")</f>
        <v/>
      </c>
      <c r="X46">
        <f>HYPERLINK("https://klasma.github.io/Logging_0880/tillsyn/A 11735-2023 tillsynsbegäran.docx", "A 11735-2023")</f>
        <v/>
      </c>
      <c r="Y46">
        <f>HYPERLINK("https://klasma.github.io/Logging_0880/tillsynsmail/A 11735-2023 tillsynsbegäran mail.docx", "A 11735-2023")</f>
        <v/>
      </c>
    </row>
    <row r="47" ht="15" customHeight="1">
      <c r="A47" t="inlineStr">
        <is>
          <t>A 35871-2022</t>
        </is>
      </c>
      <c r="B47" s="1" t="n">
        <v>44802</v>
      </c>
      <c r="C47" s="1" t="n">
        <v>46194</v>
      </c>
      <c r="D47" t="inlineStr">
        <is>
          <t>KALMAR LÄN</t>
        </is>
      </c>
      <c r="E47" t="inlineStr">
        <is>
          <t>KALMAR</t>
        </is>
      </c>
      <c r="G47" t="n">
        <v>1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Nordfladdermus
Större brunfladdermus</t>
        </is>
      </c>
      <c r="S47">
        <f>HYPERLINK("https://klasma.github.io/Logging_0880/artfynd/A 35871-2022 artfynd.xlsx", "A 35871-2022")</f>
        <v/>
      </c>
      <c r="T47">
        <f>HYPERLINK("https://klasma.github.io/Logging_0880/kartor/A 35871-2022 karta.png", "A 35871-2022")</f>
        <v/>
      </c>
      <c r="V47">
        <f>HYPERLINK("https://klasma.github.io/Logging_0880/klagomål/A 35871-2022 FSC-klagomål.docx", "A 35871-2022")</f>
        <v/>
      </c>
      <c r="W47">
        <f>HYPERLINK("https://klasma.github.io/Logging_0880/klagomålsmail/A 35871-2022 FSC-klagomål mail.docx", "A 35871-2022")</f>
        <v/>
      </c>
      <c r="X47">
        <f>HYPERLINK("https://klasma.github.io/Logging_0880/tillsyn/A 35871-2022 tillsynsbegäran.docx", "A 35871-2022")</f>
        <v/>
      </c>
      <c r="Y47">
        <f>HYPERLINK("https://klasma.github.io/Logging_0880/tillsynsmail/A 35871-2022 tillsynsbegäran mail.docx", "A 35871-2022")</f>
        <v/>
      </c>
    </row>
    <row r="48" ht="15" customHeight="1">
      <c r="A48" t="inlineStr">
        <is>
          <t>A 10836-2025</t>
        </is>
      </c>
      <c r="B48" s="1" t="n">
        <v>45722</v>
      </c>
      <c r="C48" s="1" t="n">
        <v>46194</v>
      </c>
      <c r="D48" t="inlineStr">
        <is>
          <t>KALMAR LÄN</t>
        </is>
      </c>
      <c r="E48" t="inlineStr">
        <is>
          <t>KALMAR</t>
        </is>
      </c>
      <c r="F48" t="inlineStr">
        <is>
          <t>Sveaskog</t>
        </is>
      </c>
      <c r="G48" t="n">
        <v>9.300000000000001</v>
      </c>
      <c r="H48" t="n">
        <v>2</v>
      </c>
      <c r="I48" t="n">
        <v>0</v>
      </c>
      <c r="J48" t="n">
        <v>0</v>
      </c>
      <c r="K48" t="n">
        <v>0</v>
      </c>
      <c r="L48" t="n">
        <v>2</v>
      </c>
      <c r="M48" t="n">
        <v>0</v>
      </c>
      <c r="N48" t="n">
        <v>0</v>
      </c>
      <c r="O48" t="n">
        <v>2</v>
      </c>
      <c r="P48" t="n">
        <v>2</v>
      </c>
      <c r="Q48" t="n">
        <v>2</v>
      </c>
      <c r="R48" s="2" t="inlineStr">
        <is>
          <t>Hornuggla
Pärluggla</t>
        </is>
      </c>
      <c r="S48">
        <f>HYPERLINK("https://klasma.github.io/Logging_0880/artfynd/A 10836-2025 artfynd.xlsx", "A 10836-2025")</f>
        <v/>
      </c>
      <c r="T48">
        <f>HYPERLINK("https://klasma.github.io/Logging_0880/kartor/A 10836-2025 karta.png", "A 10836-2025")</f>
        <v/>
      </c>
      <c r="V48">
        <f>HYPERLINK("https://klasma.github.io/Logging_0880/klagomål/A 10836-2025 FSC-klagomål.docx", "A 10836-2025")</f>
        <v/>
      </c>
      <c r="W48">
        <f>HYPERLINK("https://klasma.github.io/Logging_0880/klagomålsmail/A 10836-2025 FSC-klagomål mail.docx", "A 10836-2025")</f>
        <v/>
      </c>
      <c r="X48">
        <f>HYPERLINK("https://klasma.github.io/Logging_0880/tillsyn/A 10836-2025 tillsynsbegäran.docx", "A 10836-2025")</f>
        <v/>
      </c>
      <c r="Y48">
        <f>HYPERLINK("https://klasma.github.io/Logging_0880/tillsynsmail/A 10836-2025 tillsynsbegäran mail.docx", "A 10836-2025")</f>
        <v/>
      </c>
      <c r="Z48">
        <f>HYPERLINK("https://klasma.github.io/Logging_0880/fåglar/A 10836-2025 prioriterade fågelarter.docx", "A 10836-2025")</f>
        <v/>
      </c>
    </row>
    <row r="49" ht="15" customHeight="1">
      <c r="A49" t="inlineStr">
        <is>
          <t>A 46095-2025</t>
        </is>
      </c>
      <c r="B49" s="1" t="n">
        <v>45924</v>
      </c>
      <c r="C49" s="1" t="n">
        <v>46194</v>
      </c>
      <c r="D49" t="inlineStr">
        <is>
          <t>KALMAR LÄN</t>
        </is>
      </c>
      <c r="E49" t="inlineStr">
        <is>
          <t>KALMAR</t>
        </is>
      </c>
      <c r="G49" t="n">
        <v>2.3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Motaggsvamp
Blåmossa</t>
        </is>
      </c>
      <c r="S49">
        <f>HYPERLINK("https://klasma.github.io/Logging_0880/artfynd/A 46095-2025 artfynd.xlsx", "A 46095-2025")</f>
        <v/>
      </c>
      <c r="T49">
        <f>HYPERLINK("https://klasma.github.io/Logging_0880/kartor/A 46095-2025 karta.png", "A 46095-2025")</f>
        <v/>
      </c>
      <c r="V49">
        <f>HYPERLINK("https://klasma.github.io/Logging_0880/klagomål/A 46095-2025 FSC-klagomål.docx", "A 46095-2025")</f>
        <v/>
      </c>
      <c r="W49">
        <f>HYPERLINK("https://klasma.github.io/Logging_0880/klagomålsmail/A 46095-2025 FSC-klagomål mail.docx", "A 46095-2025")</f>
        <v/>
      </c>
      <c r="X49">
        <f>HYPERLINK("https://klasma.github.io/Logging_0880/tillsyn/A 46095-2025 tillsynsbegäran.docx", "A 46095-2025")</f>
        <v/>
      </c>
      <c r="Y49">
        <f>HYPERLINK("https://klasma.github.io/Logging_0880/tillsynsmail/A 46095-2025 tillsynsbegäran mail.docx", "A 46095-2025")</f>
        <v/>
      </c>
    </row>
    <row r="50" ht="15" customHeight="1">
      <c r="A50" t="inlineStr">
        <is>
          <t>A 7107-2023</t>
        </is>
      </c>
      <c r="B50" s="1" t="n">
        <v>44970</v>
      </c>
      <c r="C50" s="1" t="n">
        <v>46194</v>
      </c>
      <c r="D50" t="inlineStr">
        <is>
          <t>KALMAR LÄN</t>
        </is>
      </c>
      <c r="E50" t="inlineStr">
        <is>
          <t>KALMAR</t>
        </is>
      </c>
      <c r="G50" t="n">
        <v>1.1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Barkticka
Fällmossa</t>
        </is>
      </c>
      <c r="S50">
        <f>HYPERLINK("https://klasma.github.io/Logging_0880/artfynd/A 7107-2023 artfynd.xlsx", "A 7107-2023")</f>
        <v/>
      </c>
      <c r="T50">
        <f>HYPERLINK("https://klasma.github.io/Logging_0880/kartor/A 7107-2023 karta.png", "A 7107-2023")</f>
        <v/>
      </c>
      <c r="V50">
        <f>HYPERLINK("https://klasma.github.io/Logging_0880/klagomål/A 7107-2023 FSC-klagomål.docx", "A 7107-2023")</f>
        <v/>
      </c>
      <c r="W50">
        <f>HYPERLINK("https://klasma.github.io/Logging_0880/klagomålsmail/A 7107-2023 FSC-klagomål mail.docx", "A 7107-2023")</f>
        <v/>
      </c>
      <c r="X50">
        <f>HYPERLINK("https://klasma.github.io/Logging_0880/tillsyn/A 7107-2023 tillsynsbegäran.docx", "A 7107-2023")</f>
        <v/>
      </c>
      <c r="Y50">
        <f>HYPERLINK("https://klasma.github.io/Logging_0880/tillsynsmail/A 7107-2023 tillsynsbegäran mail.docx", "A 7107-2023")</f>
        <v/>
      </c>
    </row>
    <row r="51" ht="15" customHeight="1">
      <c r="A51" t="inlineStr">
        <is>
          <t>A 24817-2025</t>
        </is>
      </c>
      <c r="B51" s="1" t="n">
        <v>45799</v>
      </c>
      <c r="C51" s="1" t="n">
        <v>46194</v>
      </c>
      <c r="D51" t="inlineStr">
        <is>
          <t>KALMAR LÄN</t>
        </is>
      </c>
      <c r="E51" t="inlineStr">
        <is>
          <t>KALMAR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Ask
Lönnlav</t>
        </is>
      </c>
      <c r="S51">
        <f>HYPERLINK("https://klasma.github.io/Logging_0880/artfynd/A 24817-2025 artfynd.xlsx", "A 24817-2025")</f>
        <v/>
      </c>
      <c r="T51">
        <f>HYPERLINK("https://klasma.github.io/Logging_0880/kartor/A 24817-2025 karta.png", "A 24817-2025")</f>
        <v/>
      </c>
      <c r="V51">
        <f>HYPERLINK("https://klasma.github.io/Logging_0880/klagomål/A 24817-2025 FSC-klagomål.docx", "A 24817-2025")</f>
        <v/>
      </c>
      <c r="W51">
        <f>HYPERLINK("https://klasma.github.io/Logging_0880/klagomålsmail/A 24817-2025 FSC-klagomål mail.docx", "A 24817-2025")</f>
        <v/>
      </c>
      <c r="X51">
        <f>HYPERLINK("https://klasma.github.io/Logging_0880/tillsyn/A 24817-2025 tillsynsbegäran.docx", "A 24817-2025")</f>
        <v/>
      </c>
      <c r="Y51">
        <f>HYPERLINK("https://klasma.github.io/Logging_0880/tillsynsmail/A 24817-2025 tillsynsbegäran mail.docx", "A 24817-2025")</f>
        <v/>
      </c>
    </row>
    <row r="52" ht="15" customHeight="1">
      <c r="A52" t="inlineStr">
        <is>
          <t>A 54865-2025</t>
        </is>
      </c>
      <c r="B52" s="1" t="n">
        <v>45966</v>
      </c>
      <c r="C52" s="1" t="n">
        <v>46194</v>
      </c>
      <c r="D52" t="inlineStr">
        <is>
          <t>KALMAR LÄN</t>
        </is>
      </c>
      <c r="E52" t="inlineStr">
        <is>
          <t>KALMAR</t>
        </is>
      </c>
      <c r="G52" t="n">
        <v>1.8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Cinnoberspindling
Västlig hakmossa</t>
        </is>
      </c>
      <c r="S52">
        <f>HYPERLINK("https://klasma.github.io/Logging_0880/artfynd/A 54865-2025 artfynd.xlsx", "A 54865-2025")</f>
        <v/>
      </c>
      <c r="T52">
        <f>HYPERLINK("https://klasma.github.io/Logging_0880/kartor/A 54865-2025 karta.png", "A 54865-2025")</f>
        <v/>
      </c>
      <c r="V52">
        <f>HYPERLINK("https://klasma.github.io/Logging_0880/klagomål/A 54865-2025 FSC-klagomål.docx", "A 54865-2025")</f>
        <v/>
      </c>
      <c r="W52">
        <f>HYPERLINK("https://klasma.github.io/Logging_0880/klagomålsmail/A 54865-2025 FSC-klagomål mail.docx", "A 54865-2025")</f>
        <v/>
      </c>
      <c r="X52">
        <f>HYPERLINK("https://klasma.github.io/Logging_0880/tillsyn/A 54865-2025 tillsynsbegäran.docx", "A 54865-2025")</f>
        <v/>
      </c>
      <c r="Y52">
        <f>HYPERLINK("https://klasma.github.io/Logging_0880/tillsynsmail/A 54865-2025 tillsynsbegäran mail.docx", "A 54865-2025")</f>
        <v/>
      </c>
    </row>
    <row r="53" ht="15" customHeight="1">
      <c r="A53" t="inlineStr">
        <is>
          <t>A 29689-2025</t>
        </is>
      </c>
      <c r="B53" s="1" t="n">
        <v>45825</v>
      </c>
      <c r="C53" s="1" t="n">
        <v>46194</v>
      </c>
      <c r="D53" t="inlineStr">
        <is>
          <t>KALMAR LÄN</t>
        </is>
      </c>
      <c r="E53" t="inlineStr">
        <is>
          <t>KALMAR</t>
        </is>
      </c>
      <c r="G53" t="n">
        <v>1.6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Rostfläck
Sotlav</t>
        </is>
      </c>
      <c r="S53">
        <f>HYPERLINK("https://klasma.github.io/Logging_0880/artfynd/A 29689-2025 artfynd.xlsx", "A 29689-2025")</f>
        <v/>
      </c>
      <c r="T53">
        <f>HYPERLINK("https://klasma.github.io/Logging_0880/kartor/A 29689-2025 karta.png", "A 29689-2025")</f>
        <v/>
      </c>
      <c r="V53">
        <f>HYPERLINK("https://klasma.github.io/Logging_0880/klagomål/A 29689-2025 FSC-klagomål.docx", "A 29689-2025")</f>
        <v/>
      </c>
      <c r="W53">
        <f>HYPERLINK("https://klasma.github.io/Logging_0880/klagomålsmail/A 29689-2025 FSC-klagomål mail.docx", "A 29689-2025")</f>
        <v/>
      </c>
      <c r="X53">
        <f>HYPERLINK("https://klasma.github.io/Logging_0880/tillsyn/A 29689-2025 tillsynsbegäran.docx", "A 29689-2025")</f>
        <v/>
      </c>
      <c r="Y53">
        <f>HYPERLINK("https://klasma.github.io/Logging_0880/tillsynsmail/A 29689-2025 tillsynsbegäran mail.docx", "A 29689-2025")</f>
        <v/>
      </c>
    </row>
    <row r="54" ht="15" customHeight="1">
      <c r="A54" t="inlineStr">
        <is>
          <t>A 63620-2023</t>
        </is>
      </c>
      <c r="B54" s="1" t="n">
        <v>45275</v>
      </c>
      <c r="C54" s="1" t="n">
        <v>46194</v>
      </c>
      <c r="D54" t="inlineStr">
        <is>
          <t>KALMAR LÄN</t>
        </is>
      </c>
      <c r="E54" t="inlineStr">
        <is>
          <t>KALMAR</t>
        </is>
      </c>
      <c r="F54" t="inlineStr">
        <is>
          <t>Kommuner</t>
        </is>
      </c>
      <c r="G54" t="n">
        <v>4.2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Motaggsvamp
Ekoxe</t>
        </is>
      </c>
      <c r="S54">
        <f>HYPERLINK("https://klasma.github.io/Logging_0880/artfynd/A 63620-2023 artfynd.xlsx", "A 63620-2023")</f>
        <v/>
      </c>
      <c r="T54">
        <f>HYPERLINK("https://klasma.github.io/Logging_0880/kartor/A 63620-2023 karta.png", "A 63620-2023")</f>
        <v/>
      </c>
      <c r="V54">
        <f>HYPERLINK("https://klasma.github.io/Logging_0880/klagomål/A 63620-2023 FSC-klagomål.docx", "A 63620-2023")</f>
        <v/>
      </c>
      <c r="W54">
        <f>HYPERLINK("https://klasma.github.io/Logging_0880/klagomålsmail/A 63620-2023 FSC-klagomål mail.docx", "A 63620-2023")</f>
        <v/>
      </c>
      <c r="X54">
        <f>HYPERLINK("https://klasma.github.io/Logging_0880/tillsyn/A 63620-2023 tillsynsbegäran.docx", "A 63620-2023")</f>
        <v/>
      </c>
      <c r="Y54">
        <f>HYPERLINK("https://klasma.github.io/Logging_0880/tillsynsmail/A 63620-2023 tillsynsbegäran mail.docx", "A 63620-2023")</f>
        <v/>
      </c>
    </row>
    <row r="55" ht="15" customHeight="1">
      <c r="A55" t="inlineStr">
        <is>
          <t>A 44916-2024</t>
        </is>
      </c>
      <c r="B55" s="1" t="n">
        <v>45575</v>
      </c>
      <c r="C55" s="1" t="n">
        <v>46194</v>
      </c>
      <c r="D55" t="inlineStr">
        <is>
          <t>KALMAR LÄN</t>
        </is>
      </c>
      <c r="E55" t="inlineStr">
        <is>
          <t>KALMAR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Mosippa
Blomkålssvamp</t>
        </is>
      </c>
      <c r="S55">
        <f>HYPERLINK("https://klasma.github.io/Logging_0880/artfynd/A 44916-2024 artfynd.xlsx", "A 44916-2024")</f>
        <v/>
      </c>
      <c r="T55">
        <f>HYPERLINK("https://klasma.github.io/Logging_0880/kartor/A 44916-2024 karta.png", "A 44916-2024")</f>
        <v/>
      </c>
      <c r="V55">
        <f>HYPERLINK("https://klasma.github.io/Logging_0880/klagomål/A 44916-2024 FSC-klagomål.docx", "A 44916-2024")</f>
        <v/>
      </c>
      <c r="W55">
        <f>HYPERLINK("https://klasma.github.io/Logging_0880/klagomålsmail/A 44916-2024 FSC-klagomål mail.docx", "A 44916-2024")</f>
        <v/>
      </c>
      <c r="X55">
        <f>HYPERLINK("https://klasma.github.io/Logging_0880/tillsyn/A 44916-2024 tillsynsbegäran.docx", "A 44916-2024")</f>
        <v/>
      </c>
      <c r="Y55">
        <f>HYPERLINK("https://klasma.github.io/Logging_0880/tillsynsmail/A 44916-2024 tillsynsbegäran mail.docx", "A 44916-2024")</f>
        <v/>
      </c>
    </row>
    <row r="56" ht="15" customHeight="1">
      <c r="A56" t="inlineStr">
        <is>
          <t>A 5211-2026</t>
        </is>
      </c>
      <c r="B56" s="1" t="n">
        <v>46049</v>
      </c>
      <c r="C56" s="1" t="n">
        <v>46194</v>
      </c>
      <c r="D56" t="inlineStr">
        <is>
          <t>KALMAR LÄN</t>
        </is>
      </c>
      <c r="E56" t="inlineStr">
        <is>
          <t>KALMAR</t>
        </is>
      </c>
      <c r="G56" t="n">
        <v>1.8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Sandödla
Grönsiska</t>
        </is>
      </c>
      <c r="S56">
        <f>HYPERLINK("https://klasma.github.io/Logging_0880/artfynd/A 5211-2026 artfynd.xlsx", "A 5211-2026")</f>
        <v/>
      </c>
      <c r="T56">
        <f>HYPERLINK("https://klasma.github.io/Logging_0880/kartor/A 5211-2026 karta.png", "A 5211-2026")</f>
        <v/>
      </c>
      <c r="V56">
        <f>HYPERLINK("https://klasma.github.io/Logging_0880/klagomål/A 5211-2026 FSC-klagomål.docx", "A 5211-2026")</f>
        <v/>
      </c>
      <c r="W56">
        <f>HYPERLINK("https://klasma.github.io/Logging_0880/klagomålsmail/A 5211-2026 FSC-klagomål mail.docx", "A 5211-2026")</f>
        <v/>
      </c>
      <c r="X56">
        <f>HYPERLINK("https://klasma.github.io/Logging_0880/tillsyn/A 5211-2026 tillsynsbegäran.docx", "A 5211-2026")</f>
        <v/>
      </c>
      <c r="Y56">
        <f>HYPERLINK("https://klasma.github.io/Logging_0880/tillsynsmail/A 5211-2026 tillsynsbegäran mail.docx", "A 5211-2026")</f>
        <v/>
      </c>
      <c r="Z56">
        <f>HYPERLINK("https://klasma.github.io/Logging_0880/fåglar/A 5211-2026 prioriterade fågelarter.docx", "A 5211-2026")</f>
        <v/>
      </c>
    </row>
    <row r="57" ht="15" customHeight="1">
      <c r="A57" t="inlineStr">
        <is>
          <t>A 2733-2024</t>
        </is>
      </c>
      <c r="B57" s="1" t="n">
        <v>45314</v>
      </c>
      <c r="C57" s="1" t="n">
        <v>46194</v>
      </c>
      <c r="D57" t="inlineStr">
        <is>
          <t>KALMAR LÄN</t>
        </is>
      </c>
      <c r="E57" t="inlineStr">
        <is>
          <t>KALMAR</t>
        </is>
      </c>
      <c r="G57" t="n">
        <v>2.5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Ekoxe</t>
        </is>
      </c>
      <c r="S57">
        <f>HYPERLINK("https://klasma.github.io/Logging_0880/artfynd/A 2733-2024 artfynd.xlsx", "A 2733-2024")</f>
        <v/>
      </c>
      <c r="T57">
        <f>HYPERLINK("https://klasma.github.io/Logging_0880/kartor/A 2733-2024 karta.png", "A 2733-2024")</f>
        <v/>
      </c>
      <c r="V57">
        <f>HYPERLINK("https://klasma.github.io/Logging_0880/klagomål/A 2733-2024 FSC-klagomål.docx", "A 2733-2024")</f>
        <v/>
      </c>
      <c r="W57">
        <f>HYPERLINK("https://klasma.github.io/Logging_0880/klagomålsmail/A 2733-2024 FSC-klagomål mail.docx", "A 2733-2024")</f>
        <v/>
      </c>
      <c r="X57">
        <f>HYPERLINK("https://klasma.github.io/Logging_0880/tillsyn/A 2733-2024 tillsynsbegäran.docx", "A 2733-2024")</f>
        <v/>
      </c>
      <c r="Y57">
        <f>HYPERLINK("https://klasma.github.io/Logging_0880/tillsynsmail/A 2733-2024 tillsynsbegäran mail.docx", "A 2733-2024")</f>
        <v/>
      </c>
    </row>
    <row r="58" ht="15" customHeight="1">
      <c r="A58" t="inlineStr">
        <is>
          <t>A 41542-2022</t>
        </is>
      </c>
      <c r="B58" s="1" t="n">
        <v>44827</v>
      </c>
      <c r="C58" s="1" t="n">
        <v>46194</v>
      </c>
      <c r="D58" t="inlineStr">
        <is>
          <t>KALMAR LÄN</t>
        </is>
      </c>
      <c r="E58" t="inlineStr">
        <is>
          <t>KALMAR</t>
        </is>
      </c>
      <c r="G58" t="n">
        <v>29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Långbensgroda</t>
        </is>
      </c>
      <c r="S58">
        <f>HYPERLINK("https://klasma.github.io/Logging_0880/artfynd/A 41542-2022 artfynd.xlsx", "A 41542-2022")</f>
        <v/>
      </c>
      <c r="T58">
        <f>HYPERLINK("https://klasma.github.io/Logging_0880/kartor/A 41542-2022 karta.png", "A 41542-2022")</f>
        <v/>
      </c>
      <c r="U58">
        <f>HYPERLINK("https://klasma.github.io/Logging_0880/knärot/A 41542-2022 karta knärot.png", "A 41542-2022")</f>
        <v/>
      </c>
      <c r="V58">
        <f>HYPERLINK("https://klasma.github.io/Logging_0880/klagomål/A 41542-2022 FSC-klagomål.docx", "A 41542-2022")</f>
        <v/>
      </c>
      <c r="W58">
        <f>HYPERLINK("https://klasma.github.io/Logging_0880/klagomålsmail/A 41542-2022 FSC-klagomål mail.docx", "A 41542-2022")</f>
        <v/>
      </c>
      <c r="X58">
        <f>HYPERLINK("https://klasma.github.io/Logging_0880/tillsyn/A 41542-2022 tillsynsbegäran.docx", "A 41542-2022")</f>
        <v/>
      </c>
      <c r="Y58">
        <f>HYPERLINK("https://klasma.github.io/Logging_0880/tillsynsmail/A 41542-2022 tillsynsbegäran mail.docx", "A 41542-2022")</f>
        <v/>
      </c>
    </row>
    <row r="59" ht="15" customHeight="1">
      <c r="A59" t="inlineStr">
        <is>
          <t>A 17374-2026</t>
        </is>
      </c>
      <c r="B59" s="1" t="n">
        <v>46119</v>
      </c>
      <c r="C59" s="1" t="n">
        <v>46194</v>
      </c>
      <c r="D59" t="inlineStr">
        <is>
          <t>KALMAR LÄN</t>
        </is>
      </c>
      <c r="E59" t="inlineStr">
        <is>
          <t>KALMAR</t>
        </is>
      </c>
      <c r="G59" t="n">
        <v>6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Nordfladdermus
Dvärgpipistrell</t>
        </is>
      </c>
      <c r="S59">
        <f>HYPERLINK("https://klasma.github.io/Logging_0880/artfynd/A 17374-2026 artfynd.xlsx", "A 17374-2026")</f>
        <v/>
      </c>
      <c r="T59">
        <f>HYPERLINK("https://klasma.github.io/Logging_0880/kartor/A 17374-2026 karta.png", "A 17374-2026")</f>
        <v/>
      </c>
      <c r="V59">
        <f>HYPERLINK("https://klasma.github.io/Logging_0880/klagomål/A 17374-2026 FSC-klagomål.docx", "A 17374-2026")</f>
        <v/>
      </c>
      <c r="W59">
        <f>HYPERLINK("https://klasma.github.io/Logging_0880/klagomålsmail/A 17374-2026 FSC-klagomål mail.docx", "A 17374-2026")</f>
        <v/>
      </c>
      <c r="X59">
        <f>HYPERLINK("https://klasma.github.io/Logging_0880/tillsyn/A 17374-2026 tillsynsbegäran.docx", "A 17374-2026")</f>
        <v/>
      </c>
      <c r="Y59">
        <f>HYPERLINK("https://klasma.github.io/Logging_0880/tillsynsmail/A 17374-2026 tillsynsbegäran mail.docx", "A 17374-2026")</f>
        <v/>
      </c>
    </row>
    <row r="60" ht="15" customHeight="1">
      <c r="A60" t="inlineStr">
        <is>
          <t>A 17390-2026</t>
        </is>
      </c>
      <c r="B60" s="1" t="n">
        <v>46119</v>
      </c>
      <c r="C60" s="1" t="n">
        <v>46194</v>
      </c>
      <c r="D60" t="inlineStr">
        <is>
          <t>KALMAR LÄN</t>
        </is>
      </c>
      <c r="E60" t="inlineStr">
        <is>
          <t>KALMAR</t>
        </is>
      </c>
      <c r="G60" t="n">
        <v>7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Blåmossa
Tibast</t>
        </is>
      </c>
      <c r="S60">
        <f>HYPERLINK("https://klasma.github.io/Logging_0880/artfynd/A 17390-2026 artfynd.xlsx", "A 17390-2026")</f>
        <v/>
      </c>
      <c r="T60">
        <f>HYPERLINK("https://klasma.github.io/Logging_0880/kartor/A 17390-2026 karta.png", "A 17390-2026")</f>
        <v/>
      </c>
      <c r="V60">
        <f>HYPERLINK("https://klasma.github.io/Logging_0880/klagomål/A 17390-2026 FSC-klagomål.docx", "A 17390-2026")</f>
        <v/>
      </c>
      <c r="W60">
        <f>HYPERLINK("https://klasma.github.io/Logging_0880/klagomålsmail/A 17390-2026 FSC-klagomål mail.docx", "A 17390-2026")</f>
        <v/>
      </c>
      <c r="X60">
        <f>HYPERLINK("https://klasma.github.io/Logging_0880/tillsyn/A 17390-2026 tillsynsbegäran.docx", "A 17390-2026")</f>
        <v/>
      </c>
      <c r="Y60">
        <f>HYPERLINK("https://klasma.github.io/Logging_0880/tillsynsmail/A 17390-2026 tillsynsbegäran mail.docx", "A 17390-2026")</f>
        <v/>
      </c>
    </row>
    <row r="61" ht="15" customHeight="1">
      <c r="A61" t="inlineStr">
        <is>
          <t>A 36940-2025</t>
        </is>
      </c>
      <c r="B61" s="1" t="n">
        <v>45874</v>
      </c>
      <c r="C61" s="1" t="n">
        <v>46194</v>
      </c>
      <c r="D61" t="inlineStr">
        <is>
          <t>KALMAR LÄN</t>
        </is>
      </c>
      <c r="E61" t="inlineStr">
        <is>
          <t>KALMAR</t>
        </is>
      </c>
      <c r="G61" t="n">
        <v>3.5</v>
      </c>
      <c r="H61" t="n">
        <v>0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Växeltandsfibbla
Flagellkvastmossa</t>
        </is>
      </c>
      <c r="S61">
        <f>HYPERLINK("https://klasma.github.io/Logging_0880/artfynd/A 36940-2025 artfynd.xlsx", "A 36940-2025")</f>
        <v/>
      </c>
      <c r="T61">
        <f>HYPERLINK("https://klasma.github.io/Logging_0880/kartor/A 36940-2025 karta.png", "A 36940-2025")</f>
        <v/>
      </c>
      <c r="V61">
        <f>HYPERLINK("https://klasma.github.io/Logging_0880/klagomål/A 36940-2025 FSC-klagomål.docx", "A 36940-2025")</f>
        <v/>
      </c>
      <c r="W61">
        <f>HYPERLINK("https://klasma.github.io/Logging_0880/klagomålsmail/A 36940-2025 FSC-klagomål mail.docx", "A 36940-2025")</f>
        <v/>
      </c>
      <c r="X61">
        <f>HYPERLINK("https://klasma.github.io/Logging_0880/tillsyn/A 36940-2025 tillsynsbegäran.docx", "A 36940-2025")</f>
        <v/>
      </c>
      <c r="Y61">
        <f>HYPERLINK("https://klasma.github.io/Logging_0880/tillsynsmail/A 36940-2025 tillsynsbegäran mail.docx", "A 36940-2025")</f>
        <v/>
      </c>
    </row>
    <row r="62" ht="15" customHeight="1">
      <c r="A62" t="inlineStr">
        <is>
          <t>A 6319-2026</t>
        </is>
      </c>
      <c r="B62" s="1" t="n">
        <v>46055</v>
      </c>
      <c r="C62" s="1" t="n">
        <v>46194</v>
      </c>
      <c r="D62" t="inlineStr">
        <is>
          <t>KALMAR LÄN</t>
        </is>
      </c>
      <c r="E62" t="inlineStr">
        <is>
          <t>KALMAR</t>
        </is>
      </c>
      <c r="G62" t="n">
        <v>1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Igelkott
Nordfladdermus</t>
        </is>
      </c>
      <c r="S62">
        <f>HYPERLINK("https://klasma.github.io/Logging_0880/artfynd/A 6319-2026 artfynd.xlsx", "A 6319-2026")</f>
        <v/>
      </c>
      <c r="T62">
        <f>HYPERLINK("https://klasma.github.io/Logging_0880/kartor/A 6319-2026 karta.png", "A 6319-2026")</f>
        <v/>
      </c>
      <c r="V62">
        <f>HYPERLINK("https://klasma.github.io/Logging_0880/klagomål/A 6319-2026 FSC-klagomål.docx", "A 6319-2026")</f>
        <v/>
      </c>
      <c r="W62">
        <f>HYPERLINK("https://klasma.github.io/Logging_0880/klagomålsmail/A 6319-2026 FSC-klagomål mail.docx", "A 6319-2026")</f>
        <v/>
      </c>
      <c r="X62">
        <f>HYPERLINK("https://klasma.github.io/Logging_0880/tillsyn/A 6319-2026 tillsynsbegäran.docx", "A 6319-2026")</f>
        <v/>
      </c>
      <c r="Y62">
        <f>HYPERLINK("https://klasma.github.io/Logging_0880/tillsynsmail/A 6319-2026 tillsynsbegäran mail.docx", "A 6319-2026")</f>
        <v/>
      </c>
    </row>
    <row r="63" ht="15" customHeight="1">
      <c r="A63" t="inlineStr">
        <is>
          <t>A 33791-2021</t>
        </is>
      </c>
      <c r="B63" s="1" t="n">
        <v>44378</v>
      </c>
      <c r="C63" s="1" t="n">
        <v>46194</v>
      </c>
      <c r="D63" t="inlineStr">
        <is>
          <t>KALMAR LÄN</t>
        </is>
      </c>
      <c r="E63" t="inlineStr">
        <is>
          <t>KALMAR</t>
        </is>
      </c>
      <c r="G63" t="n">
        <v>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Sandödla</t>
        </is>
      </c>
      <c r="S63">
        <f>HYPERLINK("https://klasma.github.io/Logging_0880/artfynd/A 33791-2021 artfynd.xlsx", "A 33791-2021")</f>
        <v/>
      </c>
      <c r="T63">
        <f>HYPERLINK("https://klasma.github.io/Logging_0880/kartor/A 33791-2021 karta.png", "A 33791-2021")</f>
        <v/>
      </c>
      <c r="V63">
        <f>HYPERLINK("https://klasma.github.io/Logging_0880/klagomål/A 33791-2021 FSC-klagomål.docx", "A 33791-2021")</f>
        <v/>
      </c>
      <c r="W63">
        <f>HYPERLINK("https://klasma.github.io/Logging_0880/klagomålsmail/A 33791-2021 FSC-klagomål mail.docx", "A 33791-2021")</f>
        <v/>
      </c>
      <c r="X63">
        <f>HYPERLINK("https://klasma.github.io/Logging_0880/tillsyn/A 33791-2021 tillsynsbegäran.docx", "A 33791-2021")</f>
        <v/>
      </c>
      <c r="Y63">
        <f>HYPERLINK("https://klasma.github.io/Logging_0880/tillsynsmail/A 33791-2021 tillsynsbegäran mail.docx", "A 33791-2021")</f>
        <v/>
      </c>
    </row>
    <row r="64" ht="15" customHeight="1">
      <c r="A64" t="inlineStr">
        <is>
          <t>A 10392-2022</t>
        </is>
      </c>
      <c r="B64" s="1" t="n">
        <v>44623</v>
      </c>
      <c r="C64" s="1" t="n">
        <v>46194</v>
      </c>
      <c r="D64" t="inlineStr">
        <is>
          <t>KALMAR LÄN</t>
        </is>
      </c>
      <c r="E64" t="inlineStr">
        <is>
          <t>KALMAR</t>
        </is>
      </c>
      <c r="G64" t="n">
        <v>2.9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Långbensgroda</t>
        </is>
      </c>
      <c r="S64">
        <f>HYPERLINK("https://klasma.github.io/Logging_0880/artfynd/A 10392-2022 artfynd.xlsx", "A 10392-2022")</f>
        <v/>
      </c>
      <c r="T64">
        <f>HYPERLINK("https://klasma.github.io/Logging_0880/kartor/A 10392-2022 karta.png", "A 10392-2022")</f>
        <v/>
      </c>
      <c r="V64">
        <f>HYPERLINK("https://klasma.github.io/Logging_0880/klagomål/A 10392-2022 FSC-klagomål.docx", "A 10392-2022")</f>
        <v/>
      </c>
      <c r="W64">
        <f>HYPERLINK("https://klasma.github.io/Logging_0880/klagomålsmail/A 10392-2022 FSC-klagomål mail.docx", "A 10392-2022")</f>
        <v/>
      </c>
      <c r="X64">
        <f>HYPERLINK("https://klasma.github.io/Logging_0880/tillsyn/A 10392-2022 tillsynsbegäran.docx", "A 10392-2022")</f>
        <v/>
      </c>
      <c r="Y64">
        <f>HYPERLINK("https://klasma.github.io/Logging_0880/tillsynsmail/A 10392-2022 tillsynsbegäran mail.docx", "A 10392-2022")</f>
        <v/>
      </c>
    </row>
    <row r="65" ht="15" customHeight="1">
      <c r="A65" t="inlineStr">
        <is>
          <t>A 61236-2022</t>
        </is>
      </c>
      <c r="B65" s="1" t="n">
        <v>44915</v>
      </c>
      <c r="C65" s="1" t="n">
        <v>46194</v>
      </c>
      <c r="D65" t="inlineStr">
        <is>
          <t>KALMAR LÄN</t>
        </is>
      </c>
      <c r="E65" t="inlineStr">
        <is>
          <t>KALMAR</t>
        </is>
      </c>
      <c r="G65" t="n">
        <v>1.4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Murgröna</t>
        </is>
      </c>
      <c r="S65">
        <f>HYPERLINK("https://klasma.github.io/Logging_0880/artfynd/A 61236-2022 artfynd.xlsx", "A 61236-2022")</f>
        <v/>
      </c>
      <c r="T65">
        <f>HYPERLINK("https://klasma.github.io/Logging_0880/kartor/A 61236-2022 karta.png", "A 61236-2022")</f>
        <v/>
      </c>
      <c r="V65">
        <f>HYPERLINK("https://klasma.github.io/Logging_0880/klagomål/A 61236-2022 FSC-klagomål.docx", "A 61236-2022")</f>
        <v/>
      </c>
      <c r="W65">
        <f>HYPERLINK("https://klasma.github.io/Logging_0880/klagomålsmail/A 61236-2022 FSC-klagomål mail.docx", "A 61236-2022")</f>
        <v/>
      </c>
      <c r="X65">
        <f>HYPERLINK("https://klasma.github.io/Logging_0880/tillsyn/A 61236-2022 tillsynsbegäran.docx", "A 61236-2022")</f>
        <v/>
      </c>
      <c r="Y65">
        <f>HYPERLINK("https://klasma.github.io/Logging_0880/tillsynsmail/A 61236-2022 tillsynsbegäran mail.docx", "A 61236-2022")</f>
        <v/>
      </c>
    </row>
    <row r="66" ht="15" customHeight="1">
      <c r="A66" t="inlineStr">
        <is>
          <t>A 25202-2023</t>
        </is>
      </c>
      <c r="B66" s="1" t="n">
        <v>45086</v>
      </c>
      <c r="C66" s="1" t="n">
        <v>46194</v>
      </c>
      <c r="D66" t="inlineStr">
        <is>
          <t>KALMAR LÄN</t>
        </is>
      </c>
      <c r="E66" t="inlineStr">
        <is>
          <t>KALMAR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HYPERLINK("https://klasma.github.io/Logging_0880/artfynd/A 25202-2023 artfynd.xlsx", "A 25202-2023")</f>
        <v/>
      </c>
      <c r="T66">
        <f>HYPERLINK("https://klasma.github.io/Logging_0880/kartor/A 25202-2023 karta.png", "A 25202-2023")</f>
        <v/>
      </c>
      <c r="V66">
        <f>HYPERLINK("https://klasma.github.io/Logging_0880/klagomål/A 25202-2023 FSC-klagomål.docx", "A 25202-2023")</f>
        <v/>
      </c>
      <c r="W66">
        <f>HYPERLINK("https://klasma.github.io/Logging_0880/klagomålsmail/A 25202-2023 FSC-klagomål mail.docx", "A 25202-2023")</f>
        <v/>
      </c>
      <c r="X66">
        <f>HYPERLINK("https://klasma.github.io/Logging_0880/tillsyn/A 25202-2023 tillsynsbegäran.docx", "A 25202-2023")</f>
        <v/>
      </c>
      <c r="Y66">
        <f>HYPERLINK("https://klasma.github.io/Logging_0880/tillsynsmail/A 25202-2023 tillsynsbegäran mail.docx", "A 25202-2023")</f>
        <v/>
      </c>
    </row>
    <row r="67" ht="15" customHeight="1">
      <c r="A67" t="inlineStr">
        <is>
          <t>A 60807-2022</t>
        </is>
      </c>
      <c r="B67" s="1" t="n">
        <v>44914</v>
      </c>
      <c r="C67" s="1" t="n">
        <v>46194</v>
      </c>
      <c r="D67" t="inlineStr">
        <is>
          <t>KALMAR LÄN</t>
        </is>
      </c>
      <c r="E67" t="inlineStr">
        <is>
          <t>KALMAR</t>
        </is>
      </c>
      <c r="G67" t="n">
        <v>0.8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Hedblomster</t>
        </is>
      </c>
      <c r="S67">
        <f>HYPERLINK("https://klasma.github.io/Logging_0880/artfynd/A 60807-2022 artfynd.xlsx", "A 60807-2022")</f>
        <v/>
      </c>
      <c r="T67">
        <f>HYPERLINK("https://klasma.github.io/Logging_0880/kartor/A 60807-2022 karta.png", "A 60807-2022")</f>
        <v/>
      </c>
      <c r="V67">
        <f>HYPERLINK("https://klasma.github.io/Logging_0880/klagomål/A 60807-2022 FSC-klagomål.docx", "A 60807-2022")</f>
        <v/>
      </c>
      <c r="W67">
        <f>HYPERLINK("https://klasma.github.io/Logging_0880/klagomålsmail/A 60807-2022 FSC-klagomål mail.docx", "A 60807-2022")</f>
        <v/>
      </c>
      <c r="X67">
        <f>HYPERLINK("https://klasma.github.io/Logging_0880/tillsyn/A 60807-2022 tillsynsbegäran.docx", "A 60807-2022")</f>
        <v/>
      </c>
      <c r="Y67">
        <f>HYPERLINK("https://klasma.github.io/Logging_0880/tillsynsmail/A 60807-2022 tillsynsbegäran mail.docx", "A 60807-2022")</f>
        <v/>
      </c>
    </row>
    <row r="68" ht="15" customHeight="1">
      <c r="A68" t="inlineStr">
        <is>
          <t>A 13721-2023</t>
        </is>
      </c>
      <c r="B68" s="1" t="n">
        <v>45007</v>
      </c>
      <c r="C68" s="1" t="n">
        <v>46194</v>
      </c>
      <c r="D68" t="inlineStr">
        <is>
          <t>KALMAR LÄN</t>
        </is>
      </c>
      <c r="E68" t="inlineStr">
        <is>
          <t>KALMAR</t>
        </is>
      </c>
      <c r="G68" t="n">
        <v>5.2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Ögonpyrola</t>
        </is>
      </c>
      <c r="S68">
        <f>HYPERLINK("https://klasma.github.io/Logging_0880/artfynd/A 13721-2023 artfynd.xlsx", "A 13721-2023")</f>
        <v/>
      </c>
      <c r="T68">
        <f>HYPERLINK("https://klasma.github.io/Logging_0880/kartor/A 13721-2023 karta.png", "A 13721-2023")</f>
        <v/>
      </c>
      <c r="V68">
        <f>HYPERLINK("https://klasma.github.io/Logging_0880/klagomål/A 13721-2023 FSC-klagomål.docx", "A 13721-2023")</f>
        <v/>
      </c>
      <c r="W68">
        <f>HYPERLINK("https://klasma.github.io/Logging_0880/klagomålsmail/A 13721-2023 FSC-klagomål mail.docx", "A 13721-2023")</f>
        <v/>
      </c>
      <c r="X68">
        <f>HYPERLINK("https://klasma.github.io/Logging_0880/tillsyn/A 13721-2023 tillsynsbegäran.docx", "A 13721-2023")</f>
        <v/>
      </c>
      <c r="Y68">
        <f>HYPERLINK("https://klasma.github.io/Logging_0880/tillsynsmail/A 13721-2023 tillsynsbegäran mail.docx", "A 13721-2023")</f>
        <v/>
      </c>
    </row>
    <row r="69" ht="15" customHeight="1">
      <c r="A69" t="inlineStr">
        <is>
          <t>A 750-2023</t>
        </is>
      </c>
      <c r="B69" s="1" t="n">
        <v>44931</v>
      </c>
      <c r="C69" s="1" t="n">
        <v>46194</v>
      </c>
      <c r="D69" t="inlineStr">
        <is>
          <t>KALMAR LÄN</t>
        </is>
      </c>
      <c r="E69" t="inlineStr">
        <is>
          <t>KALMAR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HYPERLINK("https://klasma.github.io/Logging_0880/artfynd/A 750-2023 artfynd.xlsx", "A 750-2023")</f>
        <v/>
      </c>
      <c r="T69">
        <f>HYPERLINK("https://klasma.github.io/Logging_0880/kartor/A 750-2023 karta.png", "A 750-2023")</f>
        <v/>
      </c>
      <c r="V69">
        <f>HYPERLINK("https://klasma.github.io/Logging_0880/klagomål/A 750-2023 FSC-klagomål.docx", "A 750-2023")</f>
        <v/>
      </c>
      <c r="W69">
        <f>HYPERLINK("https://klasma.github.io/Logging_0880/klagomålsmail/A 750-2023 FSC-klagomål mail.docx", "A 750-2023")</f>
        <v/>
      </c>
      <c r="X69">
        <f>HYPERLINK("https://klasma.github.io/Logging_0880/tillsyn/A 750-2023 tillsynsbegäran.docx", "A 750-2023")</f>
        <v/>
      </c>
      <c r="Y69">
        <f>HYPERLINK("https://klasma.github.io/Logging_0880/tillsynsmail/A 750-2023 tillsynsbegäran mail.docx", "A 750-2023")</f>
        <v/>
      </c>
    </row>
    <row r="70" ht="15" customHeight="1">
      <c r="A70" t="inlineStr">
        <is>
          <t>A 3401-2023</t>
        </is>
      </c>
      <c r="B70" s="1" t="n">
        <v>44949</v>
      </c>
      <c r="C70" s="1" t="n">
        <v>46194</v>
      </c>
      <c r="D70" t="inlineStr">
        <is>
          <t>KALMAR LÄN</t>
        </is>
      </c>
      <c r="E70" t="inlineStr">
        <is>
          <t>KALMAR</t>
        </is>
      </c>
      <c r="G70" t="n">
        <v>2.6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HYPERLINK("https://klasma.github.io/Logging_0880/artfynd/A 3401-2023 artfynd.xlsx", "A 3401-2023")</f>
        <v/>
      </c>
      <c r="T70">
        <f>HYPERLINK("https://klasma.github.io/Logging_0880/kartor/A 3401-2023 karta.png", "A 3401-2023")</f>
        <v/>
      </c>
      <c r="V70">
        <f>HYPERLINK("https://klasma.github.io/Logging_0880/klagomål/A 3401-2023 FSC-klagomål.docx", "A 3401-2023")</f>
        <v/>
      </c>
      <c r="W70">
        <f>HYPERLINK("https://klasma.github.io/Logging_0880/klagomålsmail/A 3401-2023 FSC-klagomål mail.docx", "A 3401-2023")</f>
        <v/>
      </c>
      <c r="X70">
        <f>HYPERLINK("https://klasma.github.io/Logging_0880/tillsyn/A 3401-2023 tillsynsbegäran.docx", "A 3401-2023")</f>
        <v/>
      </c>
      <c r="Y70">
        <f>HYPERLINK("https://klasma.github.io/Logging_0880/tillsynsmail/A 3401-2023 tillsynsbegäran mail.docx", "A 3401-2023")</f>
        <v/>
      </c>
    </row>
    <row r="71" ht="15" customHeight="1">
      <c r="A71" t="inlineStr">
        <is>
          <t>A 764-2023</t>
        </is>
      </c>
      <c r="B71" s="1" t="n">
        <v>44931</v>
      </c>
      <c r="C71" s="1" t="n">
        <v>46194</v>
      </c>
      <c r="D71" t="inlineStr">
        <is>
          <t>KALMAR LÄN</t>
        </is>
      </c>
      <c r="E71" t="inlineStr">
        <is>
          <t>KALMAR</t>
        </is>
      </c>
      <c r="G71" t="n">
        <v>4.1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HYPERLINK("https://klasma.github.io/Logging_0880/artfynd/A 764-2023 artfynd.xlsx", "A 764-2023")</f>
        <v/>
      </c>
      <c r="T71">
        <f>HYPERLINK("https://klasma.github.io/Logging_0880/kartor/A 764-2023 karta.png", "A 764-2023")</f>
        <v/>
      </c>
      <c r="V71">
        <f>HYPERLINK("https://klasma.github.io/Logging_0880/klagomål/A 764-2023 FSC-klagomål.docx", "A 764-2023")</f>
        <v/>
      </c>
      <c r="W71">
        <f>HYPERLINK("https://klasma.github.io/Logging_0880/klagomålsmail/A 764-2023 FSC-klagomål mail.docx", "A 764-2023")</f>
        <v/>
      </c>
      <c r="X71">
        <f>HYPERLINK("https://klasma.github.io/Logging_0880/tillsyn/A 764-2023 tillsynsbegäran.docx", "A 764-2023")</f>
        <v/>
      </c>
      <c r="Y71">
        <f>HYPERLINK("https://klasma.github.io/Logging_0880/tillsynsmail/A 764-2023 tillsynsbegäran mail.docx", "A 764-2023")</f>
        <v/>
      </c>
    </row>
    <row r="72" ht="15" customHeight="1">
      <c r="A72" t="inlineStr">
        <is>
          <t>A 25732-2023</t>
        </is>
      </c>
      <c r="B72" s="1" t="n">
        <v>45090</v>
      </c>
      <c r="C72" s="1" t="n">
        <v>46194</v>
      </c>
      <c r="D72" t="inlineStr">
        <is>
          <t>KALMAR LÄN</t>
        </is>
      </c>
      <c r="E72" t="inlineStr">
        <is>
          <t>KALMAR</t>
        </is>
      </c>
      <c r="G72" t="n">
        <v>3.2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Spinnfingersvamp</t>
        </is>
      </c>
      <c r="S72">
        <f>HYPERLINK("https://klasma.github.io/Logging_0880/artfynd/A 25732-2023 artfynd.xlsx", "A 25732-2023")</f>
        <v/>
      </c>
      <c r="T72">
        <f>HYPERLINK("https://klasma.github.io/Logging_0880/kartor/A 25732-2023 karta.png", "A 25732-2023")</f>
        <v/>
      </c>
      <c r="V72">
        <f>HYPERLINK("https://klasma.github.io/Logging_0880/klagomål/A 25732-2023 FSC-klagomål.docx", "A 25732-2023")</f>
        <v/>
      </c>
      <c r="W72">
        <f>HYPERLINK("https://klasma.github.io/Logging_0880/klagomålsmail/A 25732-2023 FSC-klagomål mail.docx", "A 25732-2023")</f>
        <v/>
      </c>
      <c r="X72">
        <f>HYPERLINK("https://klasma.github.io/Logging_0880/tillsyn/A 25732-2023 tillsynsbegäran.docx", "A 25732-2023")</f>
        <v/>
      </c>
      <c r="Y72">
        <f>HYPERLINK("https://klasma.github.io/Logging_0880/tillsynsmail/A 25732-2023 tillsynsbegäran mail.docx", "A 25732-2023")</f>
        <v/>
      </c>
    </row>
    <row r="73" ht="15" customHeight="1">
      <c r="A73" t="inlineStr">
        <is>
          <t>A 13724-2023</t>
        </is>
      </c>
      <c r="B73" s="1" t="n">
        <v>45007</v>
      </c>
      <c r="C73" s="1" t="n">
        <v>46194</v>
      </c>
      <c r="D73" t="inlineStr">
        <is>
          <t>KALMAR LÄN</t>
        </is>
      </c>
      <c r="E73" t="inlineStr">
        <is>
          <t>KALMAR</t>
        </is>
      </c>
      <c r="G73" t="n">
        <v>2.5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Jungfrulin</t>
        </is>
      </c>
      <c r="S73">
        <f>HYPERLINK("https://klasma.github.io/Logging_0880/artfynd/A 13724-2023 artfynd.xlsx", "A 13724-2023")</f>
        <v/>
      </c>
      <c r="T73">
        <f>HYPERLINK("https://klasma.github.io/Logging_0880/kartor/A 13724-2023 karta.png", "A 13724-2023")</f>
        <v/>
      </c>
      <c r="V73">
        <f>HYPERLINK("https://klasma.github.io/Logging_0880/klagomål/A 13724-2023 FSC-klagomål.docx", "A 13724-2023")</f>
        <v/>
      </c>
      <c r="W73">
        <f>HYPERLINK("https://klasma.github.io/Logging_0880/klagomålsmail/A 13724-2023 FSC-klagomål mail.docx", "A 13724-2023")</f>
        <v/>
      </c>
      <c r="X73">
        <f>HYPERLINK("https://klasma.github.io/Logging_0880/tillsyn/A 13724-2023 tillsynsbegäran.docx", "A 13724-2023")</f>
        <v/>
      </c>
      <c r="Y73">
        <f>HYPERLINK("https://klasma.github.io/Logging_0880/tillsynsmail/A 13724-2023 tillsynsbegäran mail.docx", "A 13724-2023")</f>
        <v/>
      </c>
    </row>
    <row r="74" ht="15" customHeight="1">
      <c r="A74" t="inlineStr">
        <is>
          <t>A 27054-2022</t>
        </is>
      </c>
      <c r="B74" s="1" t="n">
        <v>44740</v>
      </c>
      <c r="C74" s="1" t="n">
        <v>46194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HYPERLINK("https://klasma.github.io/Logging_0880/artfynd/A 27054-2022 artfynd.xlsx", "A 27054-2022")</f>
        <v/>
      </c>
      <c r="T74">
        <f>HYPERLINK("https://klasma.github.io/Logging_0880/kartor/A 27054-2022 karta.png", "A 27054-2022")</f>
        <v/>
      </c>
      <c r="V74">
        <f>HYPERLINK("https://klasma.github.io/Logging_0880/klagomål/A 27054-2022 FSC-klagomål.docx", "A 27054-2022")</f>
        <v/>
      </c>
      <c r="W74">
        <f>HYPERLINK("https://klasma.github.io/Logging_0880/klagomålsmail/A 27054-2022 FSC-klagomål mail.docx", "A 27054-2022")</f>
        <v/>
      </c>
      <c r="X74">
        <f>HYPERLINK("https://klasma.github.io/Logging_0880/tillsyn/A 27054-2022 tillsynsbegäran.docx", "A 27054-2022")</f>
        <v/>
      </c>
      <c r="Y74">
        <f>HYPERLINK("https://klasma.github.io/Logging_0880/tillsynsmail/A 27054-2022 tillsynsbegäran mail.docx", "A 27054-2022")</f>
        <v/>
      </c>
    </row>
    <row r="75" ht="15" customHeight="1">
      <c r="A75" t="inlineStr">
        <is>
          <t>A 24588-2023</t>
        </is>
      </c>
      <c r="B75" s="1" t="n">
        <v>45083</v>
      </c>
      <c r="C75" s="1" t="n">
        <v>46194</v>
      </c>
      <c r="D75" t="inlineStr">
        <is>
          <t>KALMAR LÄN</t>
        </is>
      </c>
      <c r="E75" t="inlineStr">
        <is>
          <t>KALMAR</t>
        </is>
      </c>
      <c r="G75" t="n">
        <v>3.3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Skogsduva</t>
        </is>
      </c>
      <c r="S75">
        <f>HYPERLINK("https://klasma.github.io/Logging_0880/artfynd/A 24588-2023 artfynd.xlsx", "A 24588-2023")</f>
        <v/>
      </c>
      <c r="T75">
        <f>HYPERLINK("https://klasma.github.io/Logging_0880/kartor/A 24588-2023 karta.png", "A 24588-2023")</f>
        <v/>
      </c>
      <c r="V75">
        <f>HYPERLINK("https://klasma.github.io/Logging_0880/klagomål/A 24588-2023 FSC-klagomål.docx", "A 24588-2023")</f>
        <v/>
      </c>
      <c r="W75">
        <f>HYPERLINK("https://klasma.github.io/Logging_0880/klagomålsmail/A 24588-2023 FSC-klagomål mail.docx", "A 24588-2023")</f>
        <v/>
      </c>
      <c r="X75">
        <f>HYPERLINK("https://klasma.github.io/Logging_0880/tillsyn/A 24588-2023 tillsynsbegäran.docx", "A 24588-2023")</f>
        <v/>
      </c>
      <c r="Y75">
        <f>HYPERLINK("https://klasma.github.io/Logging_0880/tillsynsmail/A 24588-2023 tillsynsbegäran mail.docx", "A 24588-2023")</f>
        <v/>
      </c>
      <c r="Z75">
        <f>HYPERLINK("https://klasma.github.io/Logging_0880/fåglar/A 24588-2023 prioriterade fågelarter.docx", "A 24588-2023")</f>
        <v/>
      </c>
    </row>
    <row r="76" ht="15" customHeight="1">
      <c r="A76" t="inlineStr">
        <is>
          <t>A 21522-2023</t>
        </is>
      </c>
      <c r="B76" s="1" t="n">
        <v>45063</v>
      </c>
      <c r="C76" s="1" t="n">
        <v>46194</v>
      </c>
      <c r="D76" t="inlineStr">
        <is>
          <t>KALMAR LÄN</t>
        </is>
      </c>
      <c r="E76" t="inlineStr">
        <is>
          <t>KALMAR</t>
        </is>
      </c>
      <c r="F76" t="inlineStr">
        <is>
          <t>Sveaskog</t>
        </is>
      </c>
      <c r="G76" t="n">
        <v>5.2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HYPERLINK("https://klasma.github.io/Logging_0880/artfynd/A 21522-2023 artfynd.xlsx", "A 21522-2023")</f>
        <v/>
      </c>
      <c r="T76">
        <f>HYPERLINK("https://klasma.github.io/Logging_0880/kartor/A 21522-2023 karta.png", "A 21522-2023")</f>
        <v/>
      </c>
      <c r="V76">
        <f>HYPERLINK("https://klasma.github.io/Logging_0880/klagomål/A 21522-2023 FSC-klagomål.docx", "A 21522-2023")</f>
        <v/>
      </c>
      <c r="W76">
        <f>HYPERLINK("https://klasma.github.io/Logging_0880/klagomålsmail/A 21522-2023 FSC-klagomål mail.docx", "A 21522-2023")</f>
        <v/>
      </c>
      <c r="X76">
        <f>HYPERLINK("https://klasma.github.io/Logging_0880/tillsyn/A 21522-2023 tillsynsbegäran.docx", "A 21522-2023")</f>
        <v/>
      </c>
      <c r="Y76">
        <f>HYPERLINK("https://klasma.github.io/Logging_0880/tillsynsmail/A 21522-2023 tillsynsbegäran mail.docx", "A 21522-2023")</f>
        <v/>
      </c>
      <c r="Z76">
        <f>HYPERLINK("https://klasma.github.io/Logging_0880/fåglar/A 21522-2023 prioriterade fågelarter.docx", "A 21522-2023")</f>
        <v/>
      </c>
    </row>
    <row r="77" ht="15" customHeight="1">
      <c r="A77" t="inlineStr">
        <is>
          <t>A 37797-2022</t>
        </is>
      </c>
      <c r="B77" s="1" t="n">
        <v>44810</v>
      </c>
      <c r="C77" s="1" t="n">
        <v>46194</v>
      </c>
      <c r="D77" t="inlineStr">
        <is>
          <t>KALMAR LÄN</t>
        </is>
      </c>
      <c r="E77" t="inlineStr">
        <is>
          <t>KALMAR</t>
        </is>
      </c>
      <c r="G77" t="n">
        <v>3.8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Skogshare</t>
        </is>
      </c>
      <c r="S77">
        <f>HYPERLINK("https://klasma.github.io/Logging_0880/artfynd/A 37797-2022 artfynd.xlsx", "A 37797-2022")</f>
        <v/>
      </c>
      <c r="T77">
        <f>HYPERLINK("https://klasma.github.io/Logging_0880/kartor/A 37797-2022 karta.png", "A 37797-2022")</f>
        <v/>
      </c>
      <c r="V77">
        <f>HYPERLINK("https://klasma.github.io/Logging_0880/klagomål/A 37797-2022 FSC-klagomål.docx", "A 37797-2022")</f>
        <v/>
      </c>
      <c r="W77">
        <f>HYPERLINK("https://klasma.github.io/Logging_0880/klagomålsmail/A 37797-2022 FSC-klagomål mail.docx", "A 37797-2022")</f>
        <v/>
      </c>
      <c r="X77">
        <f>HYPERLINK("https://klasma.github.io/Logging_0880/tillsyn/A 37797-2022 tillsynsbegäran.docx", "A 37797-2022")</f>
        <v/>
      </c>
      <c r="Y77">
        <f>HYPERLINK("https://klasma.github.io/Logging_0880/tillsynsmail/A 37797-2022 tillsynsbegäran mail.docx", "A 37797-2022")</f>
        <v/>
      </c>
    </row>
    <row r="78" ht="15" customHeight="1">
      <c r="A78" t="inlineStr">
        <is>
          <t>A 47891-2022</t>
        </is>
      </c>
      <c r="B78" s="1" t="n">
        <v>44855</v>
      </c>
      <c r="C78" s="1" t="n">
        <v>46194</v>
      </c>
      <c r="D78" t="inlineStr">
        <is>
          <t>KALMAR LÄN</t>
        </is>
      </c>
      <c r="E78" t="inlineStr">
        <is>
          <t>KALMAR</t>
        </is>
      </c>
      <c r="F78" t="inlineStr">
        <is>
          <t>Sveaskog</t>
        </is>
      </c>
      <c r="G78" t="n">
        <v>12.2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Igelkott</t>
        </is>
      </c>
      <c r="S78">
        <f>HYPERLINK("https://klasma.github.io/Logging_0880/artfynd/A 47891-2022 artfynd.xlsx", "A 47891-2022")</f>
        <v/>
      </c>
      <c r="T78">
        <f>HYPERLINK("https://klasma.github.io/Logging_0880/kartor/A 47891-2022 karta.png", "A 47891-2022")</f>
        <v/>
      </c>
      <c r="V78">
        <f>HYPERLINK("https://klasma.github.io/Logging_0880/klagomål/A 47891-2022 FSC-klagomål.docx", "A 47891-2022")</f>
        <v/>
      </c>
      <c r="W78">
        <f>HYPERLINK("https://klasma.github.io/Logging_0880/klagomålsmail/A 47891-2022 FSC-klagomål mail.docx", "A 47891-2022")</f>
        <v/>
      </c>
      <c r="X78">
        <f>HYPERLINK("https://klasma.github.io/Logging_0880/tillsyn/A 47891-2022 tillsynsbegäran.docx", "A 47891-2022")</f>
        <v/>
      </c>
      <c r="Y78">
        <f>HYPERLINK("https://klasma.github.io/Logging_0880/tillsynsmail/A 47891-2022 tillsynsbegäran mail.docx", "A 47891-2022")</f>
        <v/>
      </c>
    </row>
    <row r="79" ht="15" customHeight="1">
      <c r="A79" t="inlineStr">
        <is>
          <t>A 38729-2023</t>
        </is>
      </c>
      <c r="B79" s="1" t="n">
        <v>45163</v>
      </c>
      <c r="C79" s="1" t="n">
        <v>46194</v>
      </c>
      <c r="D79" t="inlineStr">
        <is>
          <t>KALMAR LÄN</t>
        </is>
      </c>
      <c r="E79" t="inlineStr">
        <is>
          <t>KALMAR</t>
        </is>
      </c>
      <c r="G79" t="n">
        <v>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HYPERLINK("https://klasma.github.io/Logging_0880/artfynd/A 38729-2023 artfynd.xlsx", "A 38729-2023")</f>
        <v/>
      </c>
      <c r="T79">
        <f>HYPERLINK("https://klasma.github.io/Logging_0880/kartor/A 38729-2023 karta.png", "A 38729-2023")</f>
        <v/>
      </c>
      <c r="U79">
        <f>HYPERLINK("https://klasma.github.io/Logging_0880/knärot/A 38729-2023 karta knärot.png", "A 38729-2023")</f>
        <v/>
      </c>
      <c r="V79">
        <f>HYPERLINK("https://klasma.github.io/Logging_0880/klagomål/A 38729-2023 FSC-klagomål.docx", "A 38729-2023")</f>
        <v/>
      </c>
      <c r="W79">
        <f>HYPERLINK("https://klasma.github.io/Logging_0880/klagomålsmail/A 38729-2023 FSC-klagomål mail.docx", "A 38729-2023")</f>
        <v/>
      </c>
      <c r="X79">
        <f>HYPERLINK("https://klasma.github.io/Logging_0880/tillsyn/A 38729-2023 tillsynsbegäran.docx", "A 38729-2023")</f>
        <v/>
      </c>
      <c r="Y79">
        <f>HYPERLINK("https://klasma.github.io/Logging_0880/tillsynsmail/A 38729-2023 tillsynsbegäran mail.docx", "A 38729-2023")</f>
        <v/>
      </c>
    </row>
    <row r="80" ht="15" customHeight="1">
      <c r="A80" t="inlineStr">
        <is>
          <t>A 57058-2021</t>
        </is>
      </c>
      <c r="B80" s="1" t="n">
        <v>44482</v>
      </c>
      <c r="C80" s="1" t="n">
        <v>46194</v>
      </c>
      <c r="D80" t="inlineStr">
        <is>
          <t>KALMAR LÄN</t>
        </is>
      </c>
      <c r="E80" t="inlineStr">
        <is>
          <t>KALMAR</t>
        </is>
      </c>
      <c r="G80" t="n">
        <v>7.3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HYPERLINK("https://klasma.github.io/Logging_0880/artfynd/A 57058-2021 artfynd.xlsx", "A 57058-2021")</f>
        <v/>
      </c>
      <c r="T80">
        <f>HYPERLINK("https://klasma.github.io/Logging_0880/kartor/A 57058-2021 karta.png", "A 57058-2021")</f>
        <v/>
      </c>
      <c r="U80">
        <f>HYPERLINK("https://klasma.github.io/Logging_0880/knärot/A 57058-2021 karta knärot.png", "A 57058-2021")</f>
        <v/>
      </c>
      <c r="V80">
        <f>HYPERLINK("https://klasma.github.io/Logging_0880/klagomål/A 57058-2021 FSC-klagomål.docx", "A 57058-2021")</f>
        <v/>
      </c>
      <c r="W80">
        <f>HYPERLINK("https://klasma.github.io/Logging_0880/klagomålsmail/A 57058-2021 FSC-klagomål mail.docx", "A 57058-2021")</f>
        <v/>
      </c>
      <c r="X80">
        <f>HYPERLINK("https://klasma.github.io/Logging_0880/tillsyn/A 57058-2021 tillsynsbegäran.docx", "A 57058-2021")</f>
        <v/>
      </c>
      <c r="Y80">
        <f>HYPERLINK("https://klasma.github.io/Logging_0880/tillsynsmail/A 57058-2021 tillsynsbegäran mail.docx", "A 57058-2021")</f>
        <v/>
      </c>
    </row>
    <row r="81" ht="15" customHeight="1">
      <c r="A81" t="inlineStr">
        <is>
          <t>A 37975-2024</t>
        </is>
      </c>
      <c r="B81" s="1" t="n">
        <v>45544</v>
      </c>
      <c r="C81" s="1" t="n">
        <v>46194</v>
      </c>
      <c r="D81" t="inlineStr">
        <is>
          <t>KALMAR LÄN</t>
        </is>
      </c>
      <c r="E81" t="inlineStr">
        <is>
          <t>KALMAR</t>
        </is>
      </c>
      <c r="G81" t="n">
        <v>2.4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HYPERLINK("https://klasma.github.io/Logging_0880/artfynd/A 37975-2024 artfynd.xlsx", "A 37975-2024")</f>
        <v/>
      </c>
      <c r="T81">
        <f>HYPERLINK("https://klasma.github.io/Logging_0880/kartor/A 37975-2024 karta.png", "A 37975-2024")</f>
        <v/>
      </c>
      <c r="V81">
        <f>HYPERLINK("https://klasma.github.io/Logging_0880/klagomål/A 37975-2024 FSC-klagomål.docx", "A 37975-2024")</f>
        <v/>
      </c>
      <c r="W81">
        <f>HYPERLINK("https://klasma.github.io/Logging_0880/klagomålsmail/A 37975-2024 FSC-klagomål mail.docx", "A 37975-2024")</f>
        <v/>
      </c>
      <c r="X81">
        <f>HYPERLINK("https://klasma.github.io/Logging_0880/tillsyn/A 37975-2024 tillsynsbegäran.docx", "A 37975-2024")</f>
        <v/>
      </c>
      <c r="Y81">
        <f>HYPERLINK("https://klasma.github.io/Logging_0880/tillsynsmail/A 37975-2024 tillsynsbegäran mail.docx", "A 37975-2024")</f>
        <v/>
      </c>
      <c r="Z81">
        <f>HYPERLINK("https://klasma.github.io/Logging_0880/fåglar/A 37975-2024 prioriterade fågelarter.docx", "A 37975-2024")</f>
        <v/>
      </c>
    </row>
    <row r="82" ht="15" customHeight="1">
      <c r="A82" t="inlineStr">
        <is>
          <t>A 20610-2025</t>
        </is>
      </c>
      <c r="B82" s="1" t="n">
        <v>45775</v>
      </c>
      <c r="C82" s="1" t="n">
        <v>46194</v>
      </c>
      <c r="D82" t="inlineStr">
        <is>
          <t>KALMAR LÄN</t>
        </is>
      </c>
      <c r="E82" t="inlineStr">
        <is>
          <t>KALMAR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HYPERLINK("https://klasma.github.io/Logging_0880/artfynd/A 20610-2025 artfynd.xlsx", "A 20610-2025")</f>
        <v/>
      </c>
      <c r="T82">
        <f>HYPERLINK("https://klasma.github.io/Logging_0880/kartor/A 20610-2025 karta.png", "A 20610-2025")</f>
        <v/>
      </c>
      <c r="V82">
        <f>HYPERLINK("https://klasma.github.io/Logging_0880/klagomål/A 20610-2025 FSC-klagomål.docx", "A 20610-2025")</f>
        <v/>
      </c>
      <c r="W82">
        <f>HYPERLINK("https://klasma.github.io/Logging_0880/klagomålsmail/A 20610-2025 FSC-klagomål mail.docx", "A 20610-2025")</f>
        <v/>
      </c>
      <c r="X82">
        <f>HYPERLINK("https://klasma.github.io/Logging_0880/tillsyn/A 20610-2025 tillsynsbegäran.docx", "A 20610-2025")</f>
        <v/>
      </c>
      <c r="Y82">
        <f>HYPERLINK("https://klasma.github.io/Logging_0880/tillsynsmail/A 20610-2025 tillsynsbegäran mail.docx", "A 20610-2025")</f>
        <v/>
      </c>
    </row>
    <row r="83" ht="15" customHeight="1">
      <c r="A83" t="inlineStr">
        <is>
          <t>A 21496-2025</t>
        </is>
      </c>
      <c r="B83" s="1" t="n">
        <v>45782</v>
      </c>
      <c r="C83" s="1" t="n">
        <v>46194</v>
      </c>
      <c r="D83" t="inlineStr">
        <is>
          <t>KALMAR LÄN</t>
        </is>
      </c>
      <c r="E83" t="inlineStr">
        <is>
          <t>KALMAR</t>
        </is>
      </c>
      <c r="F83" t="inlineStr">
        <is>
          <t>Sveaskog</t>
        </is>
      </c>
      <c r="G83" t="n">
        <v>6.7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HYPERLINK("https://klasma.github.io/Logging_0880/artfynd/A 21496-2025 artfynd.xlsx", "A 21496-2025")</f>
        <v/>
      </c>
      <c r="T83">
        <f>HYPERLINK("https://klasma.github.io/Logging_0880/kartor/A 21496-2025 karta.png", "A 21496-2025")</f>
        <v/>
      </c>
      <c r="V83">
        <f>HYPERLINK("https://klasma.github.io/Logging_0880/klagomål/A 21496-2025 FSC-klagomål.docx", "A 21496-2025")</f>
        <v/>
      </c>
      <c r="W83">
        <f>HYPERLINK("https://klasma.github.io/Logging_0880/klagomålsmail/A 21496-2025 FSC-klagomål mail.docx", "A 21496-2025")</f>
        <v/>
      </c>
      <c r="X83">
        <f>HYPERLINK("https://klasma.github.io/Logging_0880/tillsyn/A 21496-2025 tillsynsbegäran.docx", "A 21496-2025")</f>
        <v/>
      </c>
      <c r="Y83">
        <f>HYPERLINK("https://klasma.github.io/Logging_0880/tillsynsmail/A 21496-2025 tillsynsbegäran mail.docx", "A 21496-2025")</f>
        <v/>
      </c>
    </row>
    <row r="84" ht="15" customHeight="1">
      <c r="A84" t="inlineStr">
        <is>
          <t>A 1929-2022</t>
        </is>
      </c>
      <c r="B84" s="1" t="n">
        <v>44575</v>
      </c>
      <c r="C84" s="1" t="n">
        <v>46194</v>
      </c>
      <c r="D84" t="inlineStr">
        <is>
          <t>KALMAR LÄN</t>
        </is>
      </c>
      <c r="E84" t="inlineStr">
        <is>
          <t>KALMAR</t>
        </is>
      </c>
      <c r="G84" t="n">
        <v>3.3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HYPERLINK("https://klasma.github.io/Logging_0880/artfynd/A 1929-2022 artfynd.xlsx", "A 1929-2022")</f>
        <v/>
      </c>
      <c r="T84">
        <f>HYPERLINK("https://klasma.github.io/Logging_0880/kartor/A 1929-2022 karta.png", "A 1929-2022")</f>
        <v/>
      </c>
      <c r="U84">
        <f>HYPERLINK("https://klasma.github.io/Logging_0880/knärot/A 1929-2022 karta knärot.png", "A 1929-2022")</f>
        <v/>
      </c>
      <c r="V84">
        <f>HYPERLINK("https://klasma.github.io/Logging_0880/klagomål/A 1929-2022 FSC-klagomål.docx", "A 1929-2022")</f>
        <v/>
      </c>
      <c r="W84">
        <f>HYPERLINK("https://klasma.github.io/Logging_0880/klagomålsmail/A 1929-2022 FSC-klagomål mail.docx", "A 1929-2022")</f>
        <v/>
      </c>
      <c r="X84">
        <f>HYPERLINK("https://klasma.github.io/Logging_0880/tillsyn/A 1929-2022 tillsynsbegäran.docx", "A 1929-2022")</f>
        <v/>
      </c>
      <c r="Y84">
        <f>HYPERLINK("https://klasma.github.io/Logging_0880/tillsynsmail/A 1929-2022 tillsynsbegäran mail.docx", "A 1929-2022")</f>
        <v/>
      </c>
    </row>
    <row r="85" ht="15" customHeight="1">
      <c r="A85" t="inlineStr">
        <is>
          <t>A 10924-2023</t>
        </is>
      </c>
      <c r="B85" s="1" t="n">
        <v>44991</v>
      </c>
      <c r="C85" s="1" t="n">
        <v>46194</v>
      </c>
      <c r="D85" t="inlineStr">
        <is>
          <t>KALMAR LÄN</t>
        </is>
      </c>
      <c r="E85" t="inlineStr">
        <is>
          <t>KALMAR</t>
        </is>
      </c>
      <c r="G85" t="n">
        <v>0.5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HYPERLINK("https://klasma.github.io/Logging_0880/artfynd/A 10924-2023 artfynd.xlsx", "A 10924-2023")</f>
        <v/>
      </c>
      <c r="T85">
        <f>HYPERLINK("https://klasma.github.io/Logging_0880/kartor/A 10924-2023 karta.png", "A 10924-2023")</f>
        <v/>
      </c>
      <c r="V85">
        <f>HYPERLINK("https://klasma.github.io/Logging_0880/klagomål/A 10924-2023 FSC-klagomål.docx", "A 10924-2023")</f>
        <v/>
      </c>
      <c r="W85">
        <f>HYPERLINK("https://klasma.github.io/Logging_0880/klagomålsmail/A 10924-2023 FSC-klagomål mail.docx", "A 10924-2023")</f>
        <v/>
      </c>
      <c r="X85">
        <f>HYPERLINK("https://klasma.github.io/Logging_0880/tillsyn/A 10924-2023 tillsynsbegäran.docx", "A 10924-2023")</f>
        <v/>
      </c>
      <c r="Y85">
        <f>HYPERLINK("https://klasma.github.io/Logging_0880/tillsynsmail/A 10924-2023 tillsynsbegäran mail.docx", "A 10924-2023")</f>
        <v/>
      </c>
    </row>
    <row r="86" ht="15" customHeight="1">
      <c r="A86" t="inlineStr">
        <is>
          <t>A 23662-2024</t>
        </is>
      </c>
      <c r="B86" s="1" t="n">
        <v>45454</v>
      </c>
      <c r="C86" s="1" t="n">
        <v>46194</v>
      </c>
      <c r="D86" t="inlineStr">
        <is>
          <t>KALMAR LÄN</t>
        </is>
      </c>
      <c r="E86" t="inlineStr">
        <is>
          <t>KALMAR</t>
        </is>
      </c>
      <c r="G86" t="n">
        <v>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Grönsiska</t>
        </is>
      </c>
      <c r="S86">
        <f>HYPERLINK("https://klasma.github.io/Logging_0880/artfynd/A 23662-2024 artfynd.xlsx", "A 23662-2024")</f>
        <v/>
      </c>
      <c r="T86">
        <f>HYPERLINK("https://klasma.github.io/Logging_0880/kartor/A 23662-2024 karta.png", "A 23662-2024")</f>
        <v/>
      </c>
      <c r="V86">
        <f>HYPERLINK("https://klasma.github.io/Logging_0880/klagomål/A 23662-2024 FSC-klagomål.docx", "A 23662-2024")</f>
        <v/>
      </c>
      <c r="W86">
        <f>HYPERLINK("https://klasma.github.io/Logging_0880/klagomålsmail/A 23662-2024 FSC-klagomål mail.docx", "A 23662-2024")</f>
        <v/>
      </c>
      <c r="X86">
        <f>HYPERLINK("https://klasma.github.io/Logging_0880/tillsyn/A 23662-2024 tillsynsbegäran.docx", "A 23662-2024")</f>
        <v/>
      </c>
      <c r="Y86">
        <f>HYPERLINK("https://klasma.github.io/Logging_0880/tillsynsmail/A 23662-2024 tillsynsbegäran mail.docx", "A 23662-2024")</f>
        <v/>
      </c>
      <c r="Z86">
        <f>HYPERLINK("https://klasma.github.io/Logging_0880/fåglar/A 23662-2024 prioriterade fågelarter.docx", "A 23662-2024")</f>
        <v/>
      </c>
    </row>
    <row r="87" ht="15" customHeight="1">
      <c r="A87" t="inlineStr">
        <is>
          <t>A 22014-2023</t>
        </is>
      </c>
      <c r="B87" s="1" t="n">
        <v>45069</v>
      </c>
      <c r="C87" s="1" t="n">
        <v>46194</v>
      </c>
      <c r="D87" t="inlineStr">
        <is>
          <t>KALMAR LÄN</t>
        </is>
      </c>
      <c r="E87" t="inlineStr">
        <is>
          <t>KALMAR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Lopplummer (aggregat)</t>
        </is>
      </c>
      <c r="S87">
        <f>HYPERLINK("https://klasma.github.io/Logging_0880/artfynd/A 22014-2023 artfynd.xlsx", "A 22014-2023")</f>
        <v/>
      </c>
      <c r="T87">
        <f>HYPERLINK("https://klasma.github.io/Logging_0880/kartor/A 22014-2023 karta.png", "A 22014-2023")</f>
        <v/>
      </c>
      <c r="V87">
        <f>HYPERLINK("https://klasma.github.io/Logging_0880/klagomål/A 22014-2023 FSC-klagomål.docx", "A 22014-2023")</f>
        <v/>
      </c>
      <c r="W87">
        <f>HYPERLINK("https://klasma.github.io/Logging_0880/klagomålsmail/A 22014-2023 FSC-klagomål mail.docx", "A 22014-2023")</f>
        <v/>
      </c>
      <c r="X87">
        <f>HYPERLINK("https://klasma.github.io/Logging_0880/tillsyn/A 22014-2023 tillsynsbegäran.docx", "A 22014-2023")</f>
        <v/>
      </c>
      <c r="Y87">
        <f>HYPERLINK("https://klasma.github.io/Logging_0880/tillsynsmail/A 22014-2023 tillsynsbegäran mail.docx", "A 22014-2023")</f>
        <v/>
      </c>
    </row>
    <row r="88" ht="15" customHeight="1">
      <c r="A88" t="inlineStr">
        <is>
          <t>A 13725-2023</t>
        </is>
      </c>
      <c r="B88" s="1" t="n">
        <v>45007</v>
      </c>
      <c r="C88" s="1" t="n">
        <v>46194</v>
      </c>
      <c r="D88" t="inlineStr">
        <is>
          <t>KALMAR LÄN</t>
        </is>
      </c>
      <c r="E88" t="inlineStr">
        <is>
          <t>KALMAR</t>
        </is>
      </c>
      <c r="G88" t="n">
        <v>2.2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Gulsparv</t>
        </is>
      </c>
      <c r="S88">
        <f>HYPERLINK("https://klasma.github.io/Logging_0880/artfynd/A 13725-2023 artfynd.xlsx", "A 13725-2023")</f>
        <v/>
      </c>
      <c r="T88">
        <f>HYPERLINK("https://klasma.github.io/Logging_0880/kartor/A 13725-2023 karta.png", "A 13725-2023")</f>
        <v/>
      </c>
      <c r="V88">
        <f>HYPERLINK("https://klasma.github.io/Logging_0880/klagomål/A 13725-2023 FSC-klagomål.docx", "A 13725-2023")</f>
        <v/>
      </c>
      <c r="W88">
        <f>HYPERLINK("https://klasma.github.io/Logging_0880/klagomålsmail/A 13725-2023 FSC-klagomål mail.docx", "A 13725-2023")</f>
        <v/>
      </c>
      <c r="X88">
        <f>HYPERLINK("https://klasma.github.io/Logging_0880/tillsyn/A 13725-2023 tillsynsbegäran.docx", "A 13725-2023")</f>
        <v/>
      </c>
      <c r="Y88">
        <f>HYPERLINK("https://klasma.github.io/Logging_0880/tillsynsmail/A 13725-2023 tillsynsbegäran mail.docx", "A 13725-2023")</f>
        <v/>
      </c>
      <c r="Z88">
        <f>HYPERLINK("https://klasma.github.io/Logging_0880/fåglar/A 13725-2023 prioriterade fågelarter.docx", "A 13725-2023")</f>
        <v/>
      </c>
    </row>
    <row r="89" ht="15" customHeight="1">
      <c r="A89" t="inlineStr">
        <is>
          <t>A 23182-2025</t>
        </is>
      </c>
      <c r="B89" s="1" t="n">
        <v>45791</v>
      </c>
      <c r="C89" s="1" t="n">
        <v>46194</v>
      </c>
      <c r="D89" t="inlineStr">
        <is>
          <t>KALMAR LÄN</t>
        </is>
      </c>
      <c r="E89" t="inlineStr">
        <is>
          <t>KALMAR</t>
        </is>
      </c>
      <c r="G89" t="n">
        <v>6.5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Nattviol</t>
        </is>
      </c>
      <c r="S89">
        <f>HYPERLINK("https://klasma.github.io/Logging_0880/artfynd/A 23182-2025 artfynd.xlsx", "A 23182-2025")</f>
        <v/>
      </c>
      <c r="T89">
        <f>HYPERLINK("https://klasma.github.io/Logging_0880/kartor/A 23182-2025 karta.png", "A 23182-2025")</f>
        <v/>
      </c>
      <c r="V89">
        <f>HYPERLINK("https://klasma.github.io/Logging_0880/klagomål/A 23182-2025 FSC-klagomål.docx", "A 23182-2025")</f>
        <v/>
      </c>
      <c r="W89">
        <f>HYPERLINK("https://klasma.github.io/Logging_0880/klagomålsmail/A 23182-2025 FSC-klagomål mail.docx", "A 23182-2025")</f>
        <v/>
      </c>
      <c r="X89">
        <f>HYPERLINK("https://klasma.github.io/Logging_0880/tillsyn/A 23182-2025 tillsynsbegäran.docx", "A 23182-2025")</f>
        <v/>
      </c>
      <c r="Y89">
        <f>HYPERLINK("https://klasma.github.io/Logging_0880/tillsynsmail/A 23182-2025 tillsynsbegäran mail.docx", "A 23182-2025")</f>
        <v/>
      </c>
    </row>
    <row r="90" ht="15" customHeight="1">
      <c r="A90" t="inlineStr">
        <is>
          <t>A 61401-2023</t>
        </is>
      </c>
      <c r="B90" s="1" t="n">
        <v>45264</v>
      </c>
      <c r="C90" s="1" t="n">
        <v>46194</v>
      </c>
      <c r="D90" t="inlineStr">
        <is>
          <t>KALMAR LÄN</t>
        </is>
      </c>
      <c r="E90" t="inlineStr">
        <is>
          <t>KALMAR</t>
        </is>
      </c>
      <c r="G90" t="n">
        <v>1.9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HYPERLINK("https://klasma.github.io/Logging_0880/artfynd/A 61401-2023 artfynd.xlsx", "A 61401-2023")</f>
        <v/>
      </c>
      <c r="T90">
        <f>HYPERLINK("https://klasma.github.io/Logging_0880/kartor/A 61401-2023 karta.png", "A 61401-2023")</f>
        <v/>
      </c>
      <c r="U90">
        <f>HYPERLINK("https://klasma.github.io/Logging_0880/knärot/A 61401-2023 karta knärot.png", "A 61401-2023")</f>
        <v/>
      </c>
      <c r="V90">
        <f>HYPERLINK("https://klasma.github.io/Logging_0880/klagomål/A 61401-2023 FSC-klagomål.docx", "A 61401-2023")</f>
        <v/>
      </c>
      <c r="W90">
        <f>HYPERLINK("https://klasma.github.io/Logging_0880/klagomålsmail/A 61401-2023 FSC-klagomål mail.docx", "A 61401-2023")</f>
        <v/>
      </c>
      <c r="X90">
        <f>HYPERLINK("https://klasma.github.io/Logging_0880/tillsyn/A 61401-2023 tillsynsbegäran.docx", "A 61401-2023")</f>
        <v/>
      </c>
      <c r="Y90">
        <f>HYPERLINK("https://klasma.github.io/Logging_0880/tillsynsmail/A 61401-2023 tillsynsbegäran mail.docx", "A 61401-2023")</f>
        <v/>
      </c>
    </row>
    <row r="91" ht="15" customHeight="1">
      <c r="A91" t="inlineStr">
        <is>
          <t>A 57212-2022</t>
        </is>
      </c>
      <c r="B91" s="1" t="n">
        <v>44895</v>
      </c>
      <c r="C91" s="1" t="n">
        <v>46194</v>
      </c>
      <c r="D91" t="inlineStr">
        <is>
          <t>KALMAR LÄN</t>
        </is>
      </c>
      <c r="E91" t="inlineStr">
        <is>
          <t>KALMAR</t>
        </is>
      </c>
      <c r="G91" t="n">
        <v>1.7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Kornknutmossa</t>
        </is>
      </c>
      <c r="S91">
        <f>HYPERLINK("https://klasma.github.io/Logging_0880/artfynd/A 57212-2022 artfynd.xlsx", "A 57212-2022")</f>
        <v/>
      </c>
      <c r="T91">
        <f>HYPERLINK("https://klasma.github.io/Logging_0880/kartor/A 57212-2022 karta.png", "A 57212-2022")</f>
        <v/>
      </c>
      <c r="V91">
        <f>HYPERLINK("https://klasma.github.io/Logging_0880/klagomål/A 57212-2022 FSC-klagomål.docx", "A 57212-2022")</f>
        <v/>
      </c>
      <c r="W91">
        <f>HYPERLINK("https://klasma.github.io/Logging_0880/klagomålsmail/A 57212-2022 FSC-klagomål mail.docx", "A 57212-2022")</f>
        <v/>
      </c>
      <c r="X91">
        <f>HYPERLINK("https://klasma.github.io/Logging_0880/tillsyn/A 57212-2022 tillsynsbegäran.docx", "A 57212-2022")</f>
        <v/>
      </c>
      <c r="Y91">
        <f>HYPERLINK("https://klasma.github.io/Logging_0880/tillsynsmail/A 57212-2022 tillsynsbegäran mail.docx", "A 57212-2022")</f>
        <v/>
      </c>
    </row>
    <row r="92" ht="15" customHeight="1">
      <c r="A92" t="inlineStr">
        <is>
          <t>A 44747-2024</t>
        </is>
      </c>
      <c r="B92" s="1" t="n">
        <v>45574</v>
      </c>
      <c r="C92" s="1" t="n">
        <v>46194</v>
      </c>
      <c r="D92" t="inlineStr">
        <is>
          <t>KALMAR LÄN</t>
        </is>
      </c>
      <c r="E92" t="inlineStr">
        <is>
          <t>KALMAR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Lungrot</t>
        </is>
      </c>
      <c r="S92">
        <f>HYPERLINK("https://klasma.github.io/Logging_0880/artfynd/A 44747-2024 artfynd.xlsx", "A 44747-2024")</f>
        <v/>
      </c>
      <c r="T92">
        <f>HYPERLINK("https://klasma.github.io/Logging_0880/kartor/A 44747-2024 karta.png", "A 44747-2024")</f>
        <v/>
      </c>
      <c r="V92">
        <f>HYPERLINK("https://klasma.github.io/Logging_0880/klagomål/A 44747-2024 FSC-klagomål.docx", "A 44747-2024")</f>
        <v/>
      </c>
      <c r="W92">
        <f>HYPERLINK("https://klasma.github.io/Logging_0880/klagomålsmail/A 44747-2024 FSC-klagomål mail.docx", "A 44747-2024")</f>
        <v/>
      </c>
      <c r="X92">
        <f>HYPERLINK("https://klasma.github.io/Logging_0880/tillsyn/A 44747-2024 tillsynsbegäran.docx", "A 44747-2024")</f>
        <v/>
      </c>
      <c r="Y92">
        <f>HYPERLINK("https://klasma.github.io/Logging_0880/tillsynsmail/A 44747-2024 tillsynsbegäran mail.docx", "A 44747-2024")</f>
        <v/>
      </c>
    </row>
    <row r="93" ht="15" customHeight="1">
      <c r="A93" t="inlineStr">
        <is>
          <t>A 3920-2025</t>
        </is>
      </c>
      <c r="B93" s="1" t="n">
        <v>45684</v>
      </c>
      <c r="C93" s="1" t="n">
        <v>46194</v>
      </c>
      <c r="D93" t="inlineStr">
        <is>
          <t>KALMAR LÄN</t>
        </is>
      </c>
      <c r="E93" t="inlineStr">
        <is>
          <t>KALMAR</t>
        </is>
      </c>
      <c r="G93" t="n">
        <v>44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Sumpviol</t>
        </is>
      </c>
      <c r="S93">
        <f>HYPERLINK("https://klasma.github.io/Logging_0880/artfynd/A 3920-2025 artfynd.xlsx", "A 3920-2025")</f>
        <v/>
      </c>
      <c r="T93">
        <f>HYPERLINK("https://klasma.github.io/Logging_0880/kartor/A 3920-2025 karta.png", "A 3920-2025")</f>
        <v/>
      </c>
      <c r="V93">
        <f>HYPERLINK("https://klasma.github.io/Logging_0880/klagomål/A 3920-2025 FSC-klagomål.docx", "A 3920-2025")</f>
        <v/>
      </c>
      <c r="W93">
        <f>HYPERLINK("https://klasma.github.io/Logging_0880/klagomålsmail/A 3920-2025 FSC-klagomål mail.docx", "A 3920-2025")</f>
        <v/>
      </c>
      <c r="X93">
        <f>HYPERLINK("https://klasma.github.io/Logging_0880/tillsyn/A 3920-2025 tillsynsbegäran.docx", "A 3920-2025")</f>
        <v/>
      </c>
      <c r="Y93">
        <f>HYPERLINK("https://klasma.github.io/Logging_0880/tillsynsmail/A 3920-2025 tillsynsbegäran mail.docx", "A 3920-2025")</f>
        <v/>
      </c>
    </row>
    <row r="94" ht="15" customHeight="1">
      <c r="A94" t="inlineStr">
        <is>
          <t>A 52670-2021</t>
        </is>
      </c>
      <c r="B94" s="1" t="n">
        <v>44466</v>
      </c>
      <c r="C94" s="1" t="n">
        <v>46194</v>
      </c>
      <c r="D94" t="inlineStr">
        <is>
          <t>KALMAR LÄN</t>
        </is>
      </c>
      <c r="E94" t="inlineStr">
        <is>
          <t>KALMAR</t>
        </is>
      </c>
      <c r="G94" t="n">
        <v>5.7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HYPERLINK("https://klasma.github.io/Logging_0880/artfynd/A 52670-2021 artfynd.xlsx", "A 52670-2021")</f>
        <v/>
      </c>
      <c r="T94">
        <f>HYPERLINK("https://klasma.github.io/Logging_0880/kartor/A 52670-2021 karta.png", "A 52670-2021")</f>
        <v/>
      </c>
      <c r="U94">
        <f>HYPERLINK("https://klasma.github.io/Logging_0880/knärot/A 52670-2021 karta knärot.png", "A 52670-2021")</f>
        <v/>
      </c>
      <c r="V94">
        <f>HYPERLINK("https://klasma.github.io/Logging_0880/klagomål/A 52670-2021 FSC-klagomål.docx", "A 52670-2021")</f>
        <v/>
      </c>
      <c r="W94">
        <f>HYPERLINK("https://klasma.github.io/Logging_0880/klagomålsmail/A 52670-2021 FSC-klagomål mail.docx", "A 52670-2021")</f>
        <v/>
      </c>
      <c r="X94">
        <f>HYPERLINK("https://klasma.github.io/Logging_0880/tillsyn/A 52670-2021 tillsynsbegäran.docx", "A 52670-2021")</f>
        <v/>
      </c>
      <c r="Y94">
        <f>HYPERLINK("https://klasma.github.io/Logging_0880/tillsynsmail/A 52670-2021 tillsynsbegäran mail.docx", "A 52670-2021")</f>
        <v/>
      </c>
    </row>
    <row r="95" ht="15" customHeight="1">
      <c r="A95" t="inlineStr">
        <is>
          <t>A 27199-2026</t>
        </is>
      </c>
      <c r="B95" s="1" t="n">
        <v>46188</v>
      </c>
      <c r="C95" s="1" t="n">
        <v>46194</v>
      </c>
      <c r="D95" t="inlineStr">
        <is>
          <t>KALMAR LÄN</t>
        </is>
      </c>
      <c r="E95" t="inlineStr">
        <is>
          <t>KALMAR</t>
        </is>
      </c>
      <c r="G95" t="n">
        <v>1.6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HYPERLINK("https://klasma.github.io/Logging_0880/artfynd/A 27199-2026 artfynd.xlsx", "A 27199-2026")</f>
        <v/>
      </c>
      <c r="T95">
        <f>HYPERLINK("https://klasma.github.io/Logging_0880/kartor/A 27199-2026 karta.png", "A 27199-2026")</f>
        <v/>
      </c>
      <c r="V95">
        <f>HYPERLINK("https://klasma.github.io/Logging_0880/klagomål/A 27199-2026 FSC-klagomål.docx", "A 27199-2026")</f>
        <v/>
      </c>
      <c r="W95">
        <f>HYPERLINK("https://klasma.github.io/Logging_0880/klagomålsmail/A 27199-2026 FSC-klagomål mail.docx", "A 27199-2026")</f>
        <v/>
      </c>
      <c r="X95">
        <f>HYPERLINK("https://klasma.github.io/Logging_0880/tillsyn/A 27199-2026 tillsynsbegäran.docx", "A 27199-2026")</f>
        <v/>
      </c>
      <c r="Y95">
        <f>HYPERLINK("https://klasma.github.io/Logging_0880/tillsynsmail/A 27199-2026 tillsynsbegäran mail.docx", "A 27199-2026")</f>
        <v/>
      </c>
    </row>
    <row r="96" ht="15" customHeight="1">
      <c r="A96" t="inlineStr">
        <is>
          <t>A 31556-2023</t>
        </is>
      </c>
      <c r="B96" s="1" t="n">
        <v>45117</v>
      </c>
      <c r="C96" s="1" t="n">
        <v>46194</v>
      </c>
      <c r="D96" t="inlineStr">
        <is>
          <t>KALMAR LÄN</t>
        </is>
      </c>
      <c r="E96" t="inlineStr">
        <is>
          <t>KALMAR</t>
        </is>
      </c>
      <c r="G96" t="n">
        <v>11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Murgröna</t>
        </is>
      </c>
      <c r="S96">
        <f>HYPERLINK("https://klasma.github.io/Logging_0880/artfynd/A 31556-2023 artfynd.xlsx", "A 31556-2023")</f>
        <v/>
      </c>
      <c r="T96">
        <f>HYPERLINK("https://klasma.github.io/Logging_0880/kartor/A 31556-2023 karta.png", "A 31556-2023")</f>
        <v/>
      </c>
      <c r="V96">
        <f>HYPERLINK("https://klasma.github.io/Logging_0880/klagomål/A 31556-2023 FSC-klagomål.docx", "A 31556-2023")</f>
        <v/>
      </c>
      <c r="W96">
        <f>HYPERLINK("https://klasma.github.io/Logging_0880/klagomålsmail/A 31556-2023 FSC-klagomål mail.docx", "A 31556-2023")</f>
        <v/>
      </c>
      <c r="X96">
        <f>HYPERLINK("https://klasma.github.io/Logging_0880/tillsyn/A 31556-2023 tillsynsbegäran.docx", "A 31556-2023")</f>
        <v/>
      </c>
      <c r="Y96">
        <f>HYPERLINK("https://klasma.github.io/Logging_0880/tillsynsmail/A 31556-2023 tillsynsbegäran mail.docx", "A 31556-2023")</f>
        <v/>
      </c>
    </row>
    <row r="97" ht="15" customHeight="1">
      <c r="A97" t="inlineStr">
        <is>
          <t>A 36389-2025</t>
        </is>
      </c>
      <c r="B97" s="1" t="n">
        <v>45868</v>
      </c>
      <c r="C97" s="1" t="n">
        <v>46194</v>
      </c>
      <c r="D97" t="inlineStr">
        <is>
          <t>KALMAR LÄN</t>
        </is>
      </c>
      <c r="E97" t="inlineStr">
        <is>
          <t>KALMAR</t>
        </is>
      </c>
      <c r="G97" t="n">
        <v>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HYPERLINK("https://klasma.github.io/Logging_0880/artfynd/A 36389-2025 artfynd.xlsx", "A 36389-2025")</f>
        <v/>
      </c>
      <c r="T97">
        <f>HYPERLINK("https://klasma.github.io/Logging_0880/kartor/A 36389-2025 karta.png", "A 36389-2025")</f>
        <v/>
      </c>
      <c r="V97">
        <f>HYPERLINK("https://klasma.github.io/Logging_0880/klagomål/A 36389-2025 FSC-klagomål.docx", "A 36389-2025")</f>
        <v/>
      </c>
      <c r="W97">
        <f>HYPERLINK("https://klasma.github.io/Logging_0880/klagomålsmail/A 36389-2025 FSC-klagomål mail.docx", "A 36389-2025")</f>
        <v/>
      </c>
      <c r="X97">
        <f>HYPERLINK("https://klasma.github.io/Logging_0880/tillsyn/A 36389-2025 tillsynsbegäran.docx", "A 36389-2025")</f>
        <v/>
      </c>
      <c r="Y97">
        <f>HYPERLINK("https://klasma.github.io/Logging_0880/tillsynsmail/A 36389-2025 tillsynsbegäran mail.docx", "A 36389-2025")</f>
        <v/>
      </c>
    </row>
    <row r="98" ht="15" customHeight="1">
      <c r="A98" t="inlineStr">
        <is>
          <t>A 42452-2023</t>
        </is>
      </c>
      <c r="B98" s="1" t="n">
        <v>45180</v>
      </c>
      <c r="C98" s="1" t="n">
        <v>46194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HYPERLINK("https://klasma.github.io/Logging_0880/artfynd/A 42452-2023 artfynd.xlsx", "A 42452-2023")</f>
        <v/>
      </c>
      <c r="T98">
        <f>HYPERLINK("https://klasma.github.io/Logging_0880/kartor/A 42452-2023 karta.png", "A 42452-2023")</f>
        <v/>
      </c>
      <c r="V98">
        <f>HYPERLINK("https://klasma.github.io/Logging_0880/klagomål/A 42452-2023 FSC-klagomål.docx", "A 42452-2023")</f>
        <v/>
      </c>
      <c r="W98">
        <f>HYPERLINK("https://klasma.github.io/Logging_0880/klagomålsmail/A 42452-2023 FSC-klagomål mail.docx", "A 42452-2023")</f>
        <v/>
      </c>
      <c r="X98">
        <f>HYPERLINK("https://klasma.github.io/Logging_0880/tillsyn/A 42452-2023 tillsynsbegäran.docx", "A 42452-2023")</f>
        <v/>
      </c>
      <c r="Y98">
        <f>HYPERLINK("https://klasma.github.io/Logging_0880/tillsynsmail/A 42452-2023 tillsynsbegäran mail.docx", "A 42452-2023")</f>
        <v/>
      </c>
      <c r="Z98">
        <f>HYPERLINK("https://klasma.github.io/Logging_0880/fåglar/A 42452-2023 prioriterade fågelarter.docx", "A 42452-2023")</f>
        <v/>
      </c>
    </row>
    <row r="99" ht="15" customHeight="1">
      <c r="A99" t="inlineStr">
        <is>
          <t>A 38083-2025</t>
        </is>
      </c>
      <c r="B99" s="1" t="n">
        <v>45882</v>
      </c>
      <c r="C99" s="1" t="n">
        <v>46194</v>
      </c>
      <c r="D99" t="inlineStr">
        <is>
          <t>KALMAR LÄN</t>
        </is>
      </c>
      <c r="E99" t="inlineStr">
        <is>
          <t>KALMAR</t>
        </is>
      </c>
      <c r="G99" t="n">
        <v>1.4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HYPERLINK("https://klasma.github.io/Logging_0880/artfynd/A 38083-2025 artfynd.xlsx", "A 38083-2025")</f>
        <v/>
      </c>
      <c r="T99">
        <f>HYPERLINK("https://klasma.github.io/Logging_0880/kartor/A 38083-2025 karta.png", "A 38083-2025")</f>
        <v/>
      </c>
      <c r="V99">
        <f>HYPERLINK("https://klasma.github.io/Logging_0880/klagomål/A 38083-2025 FSC-klagomål.docx", "A 38083-2025")</f>
        <v/>
      </c>
      <c r="W99">
        <f>HYPERLINK("https://klasma.github.io/Logging_0880/klagomålsmail/A 38083-2025 FSC-klagomål mail.docx", "A 38083-2025")</f>
        <v/>
      </c>
      <c r="X99">
        <f>HYPERLINK("https://klasma.github.io/Logging_0880/tillsyn/A 38083-2025 tillsynsbegäran.docx", "A 38083-2025")</f>
        <v/>
      </c>
      <c r="Y99">
        <f>HYPERLINK("https://klasma.github.io/Logging_0880/tillsynsmail/A 38083-2025 tillsynsbegäran mail.docx", "A 38083-2025")</f>
        <v/>
      </c>
    </row>
    <row r="100" ht="15" customHeight="1">
      <c r="A100" t="inlineStr">
        <is>
          <t>A 39745-2023</t>
        </is>
      </c>
      <c r="B100" s="1" t="n">
        <v>45167</v>
      </c>
      <c r="C100" s="1" t="n">
        <v>46194</v>
      </c>
      <c r="D100" t="inlineStr">
        <is>
          <t>KALMAR LÄN</t>
        </is>
      </c>
      <c r="E100" t="inlineStr">
        <is>
          <t>KALMAR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Murgröna</t>
        </is>
      </c>
      <c r="S100">
        <f>HYPERLINK("https://klasma.github.io/Logging_0880/artfynd/A 39745-2023 artfynd.xlsx", "A 39745-2023")</f>
        <v/>
      </c>
      <c r="T100">
        <f>HYPERLINK("https://klasma.github.io/Logging_0880/kartor/A 39745-2023 karta.png", "A 39745-2023")</f>
        <v/>
      </c>
      <c r="V100">
        <f>HYPERLINK("https://klasma.github.io/Logging_0880/klagomål/A 39745-2023 FSC-klagomål.docx", "A 39745-2023")</f>
        <v/>
      </c>
      <c r="W100">
        <f>HYPERLINK("https://klasma.github.io/Logging_0880/klagomålsmail/A 39745-2023 FSC-klagomål mail.docx", "A 39745-2023")</f>
        <v/>
      </c>
      <c r="X100">
        <f>HYPERLINK("https://klasma.github.io/Logging_0880/tillsyn/A 39745-2023 tillsynsbegäran.docx", "A 39745-2023")</f>
        <v/>
      </c>
      <c r="Y100">
        <f>HYPERLINK("https://klasma.github.io/Logging_0880/tillsynsmail/A 39745-2023 tillsynsbegäran mail.docx", "A 39745-2023")</f>
        <v/>
      </c>
    </row>
    <row r="101" ht="15" customHeight="1">
      <c r="A101" t="inlineStr">
        <is>
          <t>A 9369-2026</t>
        </is>
      </c>
      <c r="B101" s="1" t="n">
        <v>46070</v>
      </c>
      <c r="C101" s="1" t="n">
        <v>46194</v>
      </c>
      <c r="D101" t="inlineStr">
        <is>
          <t>KALMAR LÄN</t>
        </is>
      </c>
      <c r="E101" t="inlineStr">
        <is>
          <t>KALMAR</t>
        </is>
      </c>
      <c r="G101" t="n">
        <v>2.4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Sprängtickgnagare</t>
        </is>
      </c>
      <c r="S101">
        <f>HYPERLINK("https://klasma.github.io/Logging_0880/artfynd/A 9369-2026 artfynd.xlsx", "A 9369-2026")</f>
        <v/>
      </c>
      <c r="T101">
        <f>HYPERLINK("https://klasma.github.io/Logging_0880/kartor/A 9369-2026 karta.png", "A 9369-2026")</f>
        <v/>
      </c>
      <c r="V101">
        <f>HYPERLINK("https://klasma.github.io/Logging_0880/klagomål/A 9369-2026 FSC-klagomål.docx", "A 9369-2026")</f>
        <v/>
      </c>
      <c r="W101">
        <f>HYPERLINK("https://klasma.github.io/Logging_0880/klagomålsmail/A 9369-2026 FSC-klagomål mail.docx", "A 9369-2026")</f>
        <v/>
      </c>
      <c r="X101">
        <f>HYPERLINK("https://klasma.github.io/Logging_0880/tillsyn/A 9369-2026 tillsynsbegäran.docx", "A 9369-2026")</f>
        <v/>
      </c>
      <c r="Y101">
        <f>HYPERLINK("https://klasma.github.io/Logging_0880/tillsynsmail/A 9369-2026 tillsynsbegäran mail.docx", "A 9369-2026")</f>
        <v/>
      </c>
    </row>
    <row r="102" ht="15" customHeight="1">
      <c r="A102" t="inlineStr">
        <is>
          <t>A 16473-2026</t>
        </is>
      </c>
      <c r="B102" s="1" t="n">
        <v>46112</v>
      </c>
      <c r="C102" s="1" t="n">
        <v>46194</v>
      </c>
      <c r="D102" t="inlineStr">
        <is>
          <t>KALMAR LÄN</t>
        </is>
      </c>
      <c r="E102" t="inlineStr">
        <is>
          <t>KALMAR</t>
        </is>
      </c>
      <c r="G102" t="n">
        <v>1.9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Grönsångare</t>
        </is>
      </c>
      <c r="S102">
        <f>HYPERLINK("https://klasma.github.io/Logging_0880/artfynd/A 16473-2026 artfynd.xlsx", "A 16473-2026")</f>
        <v/>
      </c>
      <c r="T102">
        <f>HYPERLINK("https://klasma.github.io/Logging_0880/kartor/A 16473-2026 karta.png", "A 16473-2026")</f>
        <v/>
      </c>
      <c r="V102">
        <f>HYPERLINK("https://klasma.github.io/Logging_0880/klagomål/A 16473-2026 FSC-klagomål.docx", "A 16473-2026")</f>
        <v/>
      </c>
      <c r="W102">
        <f>HYPERLINK("https://klasma.github.io/Logging_0880/klagomålsmail/A 16473-2026 FSC-klagomål mail.docx", "A 16473-2026")</f>
        <v/>
      </c>
      <c r="X102">
        <f>HYPERLINK("https://klasma.github.io/Logging_0880/tillsyn/A 16473-2026 tillsynsbegäran.docx", "A 16473-2026")</f>
        <v/>
      </c>
      <c r="Y102">
        <f>HYPERLINK("https://klasma.github.io/Logging_0880/tillsynsmail/A 16473-2026 tillsynsbegäran mail.docx", "A 16473-2026")</f>
        <v/>
      </c>
      <c r="Z102">
        <f>HYPERLINK("https://klasma.github.io/Logging_0880/fåglar/A 16473-2026 prioriterade fågelarter.docx", "A 16473-2026")</f>
        <v/>
      </c>
    </row>
    <row r="103" ht="15" customHeight="1">
      <c r="A103" t="inlineStr">
        <is>
          <t>A 17343-2026</t>
        </is>
      </c>
      <c r="B103" s="1" t="n">
        <v>46119</v>
      </c>
      <c r="C103" s="1" t="n">
        <v>46194</v>
      </c>
      <c r="D103" t="inlineStr">
        <is>
          <t>KALMAR LÄN</t>
        </is>
      </c>
      <c r="E103" t="inlineStr">
        <is>
          <t>KALMAR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Igelkott</t>
        </is>
      </c>
      <c r="S103">
        <f>HYPERLINK("https://klasma.github.io/Logging_0880/artfynd/A 17343-2026 artfynd.xlsx", "A 17343-2026")</f>
        <v/>
      </c>
      <c r="T103">
        <f>HYPERLINK("https://klasma.github.io/Logging_0880/kartor/A 17343-2026 karta.png", "A 17343-2026")</f>
        <v/>
      </c>
      <c r="V103">
        <f>HYPERLINK("https://klasma.github.io/Logging_0880/klagomål/A 17343-2026 FSC-klagomål.docx", "A 17343-2026")</f>
        <v/>
      </c>
      <c r="W103">
        <f>HYPERLINK("https://klasma.github.io/Logging_0880/klagomålsmail/A 17343-2026 FSC-klagomål mail.docx", "A 17343-2026")</f>
        <v/>
      </c>
      <c r="X103">
        <f>HYPERLINK("https://klasma.github.io/Logging_0880/tillsyn/A 17343-2026 tillsynsbegäran.docx", "A 17343-2026")</f>
        <v/>
      </c>
      <c r="Y103">
        <f>HYPERLINK("https://klasma.github.io/Logging_0880/tillsynsmail/A 17343-2026 tillsynsbegäran mail.docx", "A 17343-2026")</f>
        <v/>
      </c>
    </row>
    <row r="104" ht="15" customHeight="1">
      <c r="A104" t="inlineStr">
        <is>
          <t>A 25506-2026</t>
        </is>
      </c>
      <c r="B104" s="1" t="n">
        <v>46177</v>
      </c>
      <c r="C104" s="1" t="n">
        <v>46194</v>
      </c>
      <c r="D104" t="inlineStr">
        <is>
          <t>KALMAR LÄN</t>
        </is>
      </c>
      <c r="E104" t="inlineStr">
        <is>
          <t>KALMAR</t>
        </is>
      </c>
      <c r="F104" t="inlineStr">
        <is>
          <t>Sveaskog</t>
        </is>
      </c>
      <c r="G104" t="n">
        <v>8.199999999999999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HYPERLINK("https://klasma.github.io/Logging_0880/artfynd/A 25506-2026 artfynd.xlsx", "A 25506-2026")</f>
        <v/>
      </c>
      <c r="T104">
        <f>HYPERLINK("https://klasma.github.io/Logging_0880/kartor/A 25506-2026 karta.png", "A 25506-2026")</f>
        <v/>
      </c>
      <c r="V104">
        <f>HYPERLINK("https://klasma.github.io/Logging_0880/klagomål/A 25506-2026 FSC-klagomål.docx", "A 25506-2026")</f>
        <v/>
      </c>
      <c r="W104">
        <f>HYPERLINK("https://klasma.github.io/Logging_0880/klagomålsmail/A 25506-2026 FSC-klagomål mail.docx", "A 25506-2026")</f>
        <v/>
      </c>
      <c r="X104">
        <f>HYPERLINK("https://klasma.github.io/Logging_0880/tillsyn/A 25506-2026 tillsynsbegäran.docx", "A 25506-2026")</f>
        <v/>
      </c>
      <c r="Y104">
        <f>HYPERLINK("https://klasma.github.io/Logging_0880/tillsynsmail/A 25506-2026 tillsynsbegäran mail.docx", "A 25506-2026")</f>
        <v/>
      </c>
      <c r="Z104">
        <f>HYPERLINK("https://klasma.github.io/Logging_0880/fåglar/A 25506-2026 prioriterade fågelarter.docx", "A 25506-2026")</f>
        <v/>
      </c>
    </row>
    <row r="105" ht="15" customHeight="1">
      <c r="A105" t="inlineStr">
        <is>
          <t>A 44734-2025</t>
        </is>
      </c>
      <c r="B105" s="1" t="n">
        <v>45917</v>
      </c>
      <c r="C105" s="1" t="n">
        <v>46194</v>
      </c>
      <c r="D105" t="inlineStr">
        <is>
          <t>KALMAR LÄN</t>
        </is>
      </c>
      <c r="E105" t="inlineStr">
        <is>
          <t>KALMAR</t>
        </is>
      </c>
      <c r="G105" t="n">
        <v>4.6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HYPERLINK("https://klasma.github.io/Logging_0880/artfynd/A 44734-2025 artfynd.xlsx", "A 44734-2025")</f>
        <v/>
      </c>
      <c r="T105">
        <f>HYPERLINK("https://klasma.github.io/Logging_0880/kartor/A 44734-2025 karta.png", "A 44734-2025")</f>
        <v/>
      </c>
      <c r="V105">
        <f>HYPERLINK("https://klasma.github.io/Logging_0880/klagomål/A 44734-2025 FSC-klagomål.docx", "A 44734-2025")</f>
        <v/>
      </c>
      <c r="W105">
        <f>HYPERLINK("https://klasma.github.io/Logging_0880/klagomålsmail/A 44734-2025 FSC-klagomål mail.docx", "A 44734-2025")</f>
        <v/>
      </c>
      <c r="X105">
        <f>HYPERLINK("https://klasma.github.io/Logging_0880/tillsyn/A 44734-2025 tillsynsbegäran.docx", "A 44734-2025")</f>
        <v/>
      </c>
      <c r="Y105">
        <f>HYPERLINK("https://klasma.github.io/Logging_0880/tillsynsmail/A 44734-2025 tillsynsbegäran mail.docx", "A 44734-2025")</f>
        <v/>
      </c>
    </row>
    <row r="106" ht="15" customHeight="1">
      <c r="A106" t="inlineStr">
        <is>
          <t>A 13072-2022</t>
        </is>
      </c>
      <c r="B106" s="1" t="n">
        <v>44643</v>
      </c>
      <c r="C106" s="1" t="n">
        <v>46194</v>
      </c>
      <c r="D106" t="inlineStr">
        <is>
          <t>KALMAR LÄN</t>
        </is>
      </c>
      <c r="E106" t="inlineStr">
        <is>
          <t>KALMAR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11216-2022</t>
        </is>
      </c>
      <c r="B107" s="1" t="n">
        <v>44629</v>
      </c>
      <c r="C107" s="1" t="n">
        <v>46194</v>
      </c>
      <c r="D107" t="inlineStr">
        <is>
          <t>KALMAR LÄN</t>
        </is>
      </c>
      <c r="E107" t="inlineStr">
        <is>
          <t>KALMAR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40838-2021</t>
        </is>
      </c>
      <c r="B108" s="1" t="n">
        <v>44421</v>
      </c>
      <c r="C108" s="1" t="n">
        <v>46194</v>
      </c>
      <c r="D108" t="inlineStr">
        <is>
          <t>KALMAR LÄN</t>
        </is>
      </c>
      <c r="E108" t="inlineStr">
        <is>
          <t>KALMAR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40346-2022</t>
        </is>
      </c>
      <c r="B109" s="1" t="n">
        <v>44823</v>
      </c>
      <c r="C109" s="1" t="n">
        <v>46194</v>
      </c>
      <c r="D109" t="inlineStr">
        <is>
          <t>KALMAR LÄN</t>
        </is>
      </c>
      <c r="E109" t="inlineStr">
        <is>
          <t>KALMAR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50871-2021</t>
        </is>
      </c>
      <c r="B110" s="1" t="n">
        <v>44460</v>
      </c>
      <c r="C110" s="1" t="n">
        <v>46194</v>
      </c>
      <c r="D110" t="inlineStr">
        <is>
          <t>KALMAR LÄN</t>
        </is>
      </c>
      <c r="E110" t="inlineStr">
        <is>
          <t>KALMAR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60928-2021</t>
        </is>
      </c>
      <c r="B111" s="1" t="n">
        <v>44497</v>
      </c>
      <c r="C111" s="1" t="n">
        <v>46194</v>
      </c>
      <c r="D111" t="inlineStr">
        <is>
          <t>KALMAR LÄN</t>
        </is>
      </c>
      <c r="E111" t="inlineStr">
        <is>
          <t>KALMAR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63045-2021</t>
        </is>
      </c>
      <c r="B112" s="1" t="n">
        <v>44505</v>
      </c>
      <c r="C112" s="1" t="n">
        <v>46194</v>
      </c>
      <c r="D112" t="inlineStr">
        <is>
          <t>KALMAR LÄN</t>
        </is>
      </c>
      <c r="E112" t="inlineStr">
        <is>
          <t>KALMAR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18113-2022</t>
        </is>
      </c>
      <c r="B113" s="1" t="n">
        <v>44684</v>
      </c>
      <c r="C113" s="1" t="n">
        <v>46194</v>
      </c>
      <c r="D113" t="inlineStr">
        <is>
          <t>KALMAR LÄN</t>
        </is>
      </c>
      <c r="E113" t="inlineStr">
        <is>
          <t>KALMAR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47158-2022</t>
        </is>
      </c>
      <c r="B114" s="1" t="n">
        <v>44852</v>
      </c>
      <c r="C114" s="1" t="n">
        <v>46194</v>
      </c>
      <c r="D114" t="inlineStr">
        <is>
          <t>KALMAR LÄN</t>
        </is>
      </c>
      <c r="E114" t="inlineStr">
        <is>
          <t>KALMAR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44455-2021</t>
        </is>
      </c>
      <c r="B115" s="1" t="n">
        <v>44435</v>
      </c>
      <c r="C115" s="1" t="n">
        <v>46194</v>
      </c>
      <c r="D115" t="inlineStr">
        <is>
          <t>KALMAR LÄN</t>
        </is>
      </c>
      <c r="E115" t="inlineStr">
        <is>
          <t>KALMAR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50105-2021</t>
        </is>
      </c>
      <c r="B116" s="1" t="n">
        <v>44456</v>
      </c>
      <c r="C116" s="1" t="n">
        <v>46194</v>
      </c>
      <c r="D116" t="inlineStr">
        <is>
          <t>KALMAR LÄN</t>
        </is>
      </c>
      <c r="E116" t="inlineStr">
        <is>
          <t>KALMAR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50212-2021</t>
        </is>
      </c>
      <c r="B117" s="1" t="n">
        <v>44457</v>
      </c>
      <c r="C117" s="1" t="n">
        <v>46194</v>
      </c>
      <c r="D117" t="inlineStr">
        <is>
          <t>KALMAR LÄN</t>
        </is>
      </c>
      <c r="E117" t="inlineStr">
        <is>
          <t>KALMAR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71104-2021</t>
        </is>
      </c>
      <c r="B118" s="1" t="n">
        <v>44539</v>
      </c>
      <c r="C118" s="1" t="n">
        <v>46194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61085-2021</t>
        </is>
      </c>
      <c r="B119" s="1" t="n">
        <v>44498</v>
      </c>
      <c r="C119" s="1" t="n">
        <v>46194</v>
      </c>
      <c r="D119" t="inlineStr">
        <is>
          <t>KALMAR LÄN</t>
        </is>
      </c>
      <c r="E119" t="inlineStr">
        <is>
          <t>KALMAR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61086-2021</t>
        </is>
      </c>
      <c r="B120" s="1" t="n">
        <v>44498</v>
      </c>
      <c r="C120" s="1" t="n">
        <v>46194</v>
      </c>
      <c r="D120" t="inlineStr">
        <is>
          <t>KALMAR LÄN</t>
        </is>
      </c>
      <c r="E120" t="inlineStr">
        <is>
          <t>KALMAR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38455-2021</t>
        </is>
      </c>
      <c r="B121" s="1" t="n">
        <v>44407</v>
      </c>
      <c r="C121" s="1" t="n">
        <v>46194</v>
      </c>
      <c r="D121" t="inlineStr">
        <is>
          <t>KALMAR LÄN</t>
        </is>
      </c>
      <c r="E121" t="inlineStr">
        <is>
          <t>KALMAR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58845-2021</t>
        </is>
      </c>
      <c r="B122" s="1" t="n">
        <v>44489</v>
      </c>
      <c r="C122" s="1" t="n">
        <v>46194</v>
      </c>
      <c r="D122" t="inlineStr">
        <is>
          <t>KALMAR LÄN</t>
        </is>
      </c>
      <c r="E122" t="inlineStr">
        <is>
          <t>KALMAR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34489-2021</t>
        </is>
      </c>
      <c r="B123" s="1" t="n">
        <v>44382</v>
      </c>
      <c r="C123" s="1" t="n">
        <v>46194</v>
      </c>
      <c r="D123" t="inlineStr">
        <is>
          <t>KALMAR LÄN</t>
        </is>
      </c>
      <c r="E123" t="inlineStr">
        <is>
          <t>KALMAR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40364-2022</t>
        </is>
      </c>
      <c r="B124" s="1" t="n">
        <v>44823</v>
      </c>
      <c r="C124" s="1" t="n">
        <v>46194</v>
      </c>
      <c r="D124" t="inlineStr">
        <is>
          <t>KALMAR LÄN</t>
        </is>
      </c>
      <c r="E124" t="inlineStr">
        <is>
          <t>KALMAR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67721-2021</t>
        </is>
      </c>
      <c r="B125" s="1" t="n">
        <v>44525</v>
      </c>
      <c r="C125" s="1" t="n">
        <v>46194</v>
      </c>
      <c r="D125" t="inlineStr">
        <is>
          <t>KALMAR LÄN</t>
        </is>
      </c>
      <c r="E125" t="inlineStr">
        <is>
          <t>KALMAR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33830-2022</t>
        </is>
      </c>
      <c r="B126" s="1" t="n">
        <v>44790</v>
      </c>
      <c r="C126" s="1" t="n">
        <v>46194</v>
      </c>
      <c r="D126" t="inlineStr">
        <is>
          <t>KALMAR LÄN</t>
        </is>
      </c>
      <c r="E126" t="inlineStr">
        <is>
          <t>KALMAR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69410-2021</t>
        </is>
      </c>
      <c r="B127" s="1" t="n">
        <v>44531</v>
      </c>
      <c r="C127" s="1" t="n">
        <v>46194</v>
      </c>
      <c r="D127" t="inlineStr">
        <is>
          <t>KALMAR LÄN</t>
        </is>
      </c>
      <c r="E127" t="inlineStr">
        <is>
          <t>KALMAR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6794-2022</t>
        </is>
      </c>
      <c r="B128" s="1" t="n">
        <v>44602</v>
      </c>
      <c r="C128" s="1" t="n">
        <v>46194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39624-2021</t>
        </is>
      </c>
      <c r="B129" s="1" t="n">
        <v>44417</v>
      </c>
      <c r="C129" s="1" t="n">
        <v>46194</v>
      </c>
      <c r="D129" t="inlineStr">
        <is>
          <t>KALMAR LÄN</t>
        </is>
      </c>
      <c r="E129" t="inlineStr">
        <is>
          <t>KALMAR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48355-2022</t>
        </is>
      </c>
      <c r="B130" s="1" t="n">
        <v>44858</v>
      </c>
      <c r="C130" s="1" t="n">
        <v>46194</v>
      </c>
      <c r="D130" t="inlineStr">
        <is>
          <t>KALMAR LÄN</t>
        </is>
      </c>
      <c r="E130" t="inlineStr">
        <is>
          <t>KALMAR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40218-2021</t>
        </is>
      </c>
      <c r="B131" s="1" t="n">
        <v>44419</v>
      </c>
      <c r="C131" s="1" t="n">
        <v>46194</v>
      </c>
      <c r="D131" t="inlineStr">
        <is>
          <t>KALMAR LÄN</t>
        </is>
      </c>
      <c r="E131" t="inlineStr">
        <is>
          <t>KALMAR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66820-2021</t>
        </is>
      </c>
      <c r="B132" s="1" t="n">
        <v>44522</v>
      </c>
      <c r="C132" s="1" t="n">
        <v>46194</v>
      </c>
      <c r="D132" t="inlineStr">
        <is>
          <t>KALMAR LÄN</t>
        </is>
      </c>
      <c r="E132" t="inlineStr">
        <is>
          <t>KALMAR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39525-2022</t>
        </is>
      </c>
      <c r="B133" s="1" t="n">
        <v>44818</v>
      </c>
      <c r="C133" s="1" t="n">
        <v>46194</v>
      </c>
      <c r="D133" t="inlineStr">
        <is>
          <t>KALMAR LÄN</t>
        </is>
      </c>
      <c r="E133" t="inlineStr">
        <is>
          <t>KALMAR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40404-2022</t>
        </is>
      </c>
      <c r="B134" s="1" t="n">
        <v>44823</v>
      </c>
      <c r="C134" s="1" t="n">
        <v>46194</v>
      </c>
      <c r="D134" t="inlineStr">
        <is>
          <t>KALMAR LÄN</t>
        </is>
      </c>
      <c r="E134" t="inlineStr">
        <is>
          <t>KALMAR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48378-2022</t>
        </is>
      </c>
      <c r="B135" s="1" t="n">
        <v>44858</v>
      </c>
      <c r="C135" s="1" t="n">
        <v>46194</v>
      </c>
      <c r="D135" t="inlineStr">
        <is>
          <t>KALMAR LÄN</t>
        </is>
      </c>
      <c r="E135" t="inlineStr">
        <is>
          <t>KALMAR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48470-2022</t>
        </is>
      </c>
      <c r="B136" s="1" t="n">
        <v>44858</v>
      </c>
      <c r="C136" s="1" t="n">
        <v>46194</v>
      </c>
      <c r="D136" t="inlineStr">
        <is>
          <t>KALMAR LÄN</t>
        </is>
      </c>
      <c r="E136" t="inlineStr">
        <is>
          <t>KALMAR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47080-2022</t>
        </is>
      </c>
      <c r="B137" s="1" t="n">
        <v>44852</v>
      </c>
      <c r="C137" s="1" t="n">
        <v>46194</v>
      </c>
      <c r="D137" t="inlineStr">
        <is>
          <t>KALMAR LÄN</t>
        </is>
      </c>
      <c r="E137" t="inlineStr">
        <is>
          <t>KALMAR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48473-2022</t>
        </is>
      </c>
      <c r="B138" s="1" t="n">
        <v>44858</v>
      </c>
      <c r="C138" s="1" t="n">
        <v>46194</v>
      </c>
      <c r="D138" t="inlineStr">
        <is>
          <t>KALMAR LÄN</t>
        </is>
      </c>
      <c r="E138" t="inlineStr">
        <is>
          <t>KALMAR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43260-2021</t>
        </is>
      </c>
      <c r="B139" s="1" t="n">
        <v>44432</v>
      </c>
      <c r="C139" s="1" t="n">
        <v>46194</v>
      </c>
      <c r="D139" t="inlineStr">
        <is>
          <t>KALMAR LÄN</t>
        </is>
      </c>
      <c r="E139" t="inlineStr">
        <is>
          <t>KALMAR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9087-2022</t>
        </is>
      </c>
      <c r="B140" s="1" t="n">
        <v>44615</v>
      </c>
      <c r="C140" s="1" t="n">
        <v>46194</v>
      </c>
      <c r="D140" t="inlineStr">
        <is>
          <t>KALMAR LÄN</t>
        </is>
      </c>
      <c r="E140" t="inlineStr">
        <is>
          <t>KALMAR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3739-2022</t>
        </is>
      </c>
      <c r="B141" s="1" t="n">
        <v>44586</v>
      </c>
      <c r="C141" s="1" t="n">
        <v>46194</v>
      </c>
      <c r="D141" t="inlineStr">
        <is>
          <t>KALMAR LÄN</t>
        </is>
      </c>
      <c r="E141" t="inlineStr">
        <is>
          <t>KALMAR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47516-2021</t>
        </is>
      </c>
      <c r="B142" s="1" t="n">
        <v>44447</v>
      </c>
      <c r="C142" s="1" t="n">
        <v>46194</v>
      </c>
      <c r="D142" t="inlineStr">
        <is>
          <t>KALMAR LÄN</t>
        </is>
      </c>
      <c r="E142" t="inlineStr">
        <is>
          <t>KALMAR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49283-2021</t>
        </is>
      </c>
      <c r="B143" s="1" t="n">
        <v>44454</v>
      </c>
      <c r="C143" s="1" t="n">
        <v>46194</v>
      </c>
      <c r="D143" t="inlineStr">
        <is>
          <t>KALMAR LÄN</t>
        </is>
      </c>
      <c r="E143" t="inlineStr">
        <is>
          <t>KALMAR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61961-2021</t>
        </is>
      </c>
      <c r="B144" s="1" t="n">
        <v>44502</v>
      </c>
      <c r="C144" s="1" t="n">
        <v>46194</v>
      </c>
      <c r="D144" t="inlineStr">
        <is>
          <t>KALMAR LÄN</t>
        </is>
      </c>
      <c r="E144" t="inlineStr">
        <is>
          <t>KALMAR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33580-2021</t>
        </is>
      </c>
      <c r="B145" s="1" t="n">
        <v>44377</v>
      </c>
      <c r="C145" s="1" t="n">
        <v>46194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73755-2021</t>
        </is>
      </c>
      <c r="B146" s="1" t="n">
        <v>44552</v>
      </c>
      <c r="C146" s="1" t="n">
        <v>46194</v>
      </c>
      <c r="D146" t="inlineStr">
        <is>
          <t>KALMAR LÄN</t>
        </is>
      </c>
      <c r="E146" t="inlineStr">
        <is>
          <t>KALMAR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57390-2021</t>
        </is>
      </c>
      <c r="B147" s="1" t="n">
        <v>44482</v>
      </c>
      <c r="C147" s="1" t="n">
        <v>46194</v>
      </c>
      <c r="D147" t="inlineStr">
        <is>
          <t>KALMAR LÄN</t>
        </is>
      </c>
      <c r="E147" t="inlineStr">
        <is>
          <t>KALMAR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9871-2022</t>
        </is>
      </c>
      <c r="B148" s="1" t="n">
        <v>44620</v>
      </c>
      <c r="C148" s="1" t="n">
        <v>46194</v>
      </c>
      <c r="D148" t="inlineStr">
        <is>
          <t>KALMAR LÄN</t>
        </is>
      </c>
      <c r="E148" t="inlineStr">
        <is>
          <t>KALMAR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10705-2022</t>
        </is>
      </c>
      <c r="B149" s="1" t="n">
        <v>44625</v>
      </c>
      <c r="C149" s="1" t="n">
        <v>46194</v>
      </c>
      <c r="D149" t="inlineStr">
        <is>
          <t>KALMAR LÄN</t>
        </is>
      </c>
      <c r="E149" t="inlineStr">
        <is>
          <t>KALMAR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51134-2021</t>
        </is>
      </c>
      <c r="B150" s="1" t="n">
        <v>44461</v>
      </c>
      <c r="C150" s="1" t="n">
        <v>46194</v>
      </c>
      <c r="D150" t="inlineStr">
        <is>
          <t>KALMAR LÄN</t>
        </is>
      </c>
      <c r="E150" t="inlineStr">
        <is>
          <t>KALMAR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49751-2021</t>
        </is>
      </c>
      <c r="B151" s="1" t="n">
        <v>44455</v>
      </c>
      <c r="C151" s="1" t="n">
        <v>46194</v>
      </c>
      <c r="D151" t="inlineStr">
        <is>
          <t>KALMAR LÄN</t>
        </is>
      </c>
      <c r="E151" t="inlineStr">
        <is>
          <t>KALMAR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32921-2022</t>
        </is>
      </c>
      <c r="B152" s="1" t="n">
        <v>44784</v>
      </c>
      <c r="C152" s="1" t="n">
        <v>46194</v>
      </c>
      <c r="D152" t="inlineStr">
        <is>
          <t>KALMAR LÄN</t>
        </is>
      </c>
      <c r="E152" t="inlineStr">
        <is>
          <t>KALMAR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43619-2021</t>
        </is>
      </c>
      <c r="B153" s="1" t="n">
        <v>44433</v>
      </c>
      <c r="C153" s="1" t="n">
        <v>46194</v>
      </c>
      <c r="D153" t="inlineStr">
        <is>
          <t>KALMAR LÄN</t>
        </is>
      </c>
      <c r="E153" t="inlineStr">
        <is>
          <t>KALMAR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14478-2022</t>
        </is>
      </c>
      <c r="B154" s="1" t="n">
        <v>44654</v>
      </c>
      <c r="C154" s="1" t="n">
        <v>46194</v>
      </c>
      <c r="D154" t="inlineStr">
        <is>
          <t>KALMAR LÄN</t>
        </is>
      </c>
      <c r="E154" t="inlineStr">
        <is>
          <t>KALMAR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48361-2022</t>
        </is>
      </c>
      <c r="B155" s="1" t="n">
        <v>44858</v>
      </c>
      <c r="C155" s="1" t="n">
        <v>46194</v>
      </c>
      <c r="D155" t="inlineStr">
        <is>
          <t>KALMAR LÄN</t>
        </is>
      </c>
      <c r="E155" t="inlineStr">
        <is>
          <t>KALMAR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63279-2023</t>
        </is>
      </c>
      <c r="B156" s="1" t="n">
        <v>45273</v>
      </c>
      <c r="C156" s="1" t="n">
        <v>46194</v>
      </c>
      <c r="D156" t="inlineStr">
        <is>
          <t>KALMAR LÄN</t>
        </is>
      </c>
      <c r="E156" t="inlineStr">
        <is>
          <t>KALMAR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57654-2023</t>
        </is>
      </c>
      <c r="B157" s="1" t="n">
        <v>45246</v>
      </c>
      <c r="C157" s="1" t="n">
        <v>46194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57658-2023</t>
        </is>
      </c>
      <c r="B158" s="1" t="n">
        <v>45246</v>
      </c>
      <c r="C158" s="1" t="n">
        <v>46194</v>
      </c>
      <c r="D158" t="inlineStr">
        <is>
          <t>KALMAR LÄN</t>
        </is>
      </c>
      <c r="E158" t="inlineStr">
        <is>
          <t>KALMAR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57216-2022</t>
        </is>
      </c>
      <c r="B159" s="1" t="n">
        <v>44895</v>
      </c>
      <c r="C159" s="1" t="n">
        <v>46194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28-2022</t>
        </is>
      </c>
      <c r="B160" s="1" t="n">
        <v>44564</v>
      </c>
      <c r="C160" s="1" t="n">
        <v>46194</v>
      </c>
      <c r="D160" t="inlineStr">
        <is>
          <t>KALMAR LÄN</t>
        </is>
      </c>
      <c r="E160" t="inlineStr">
        <is>
          <t>KALMAR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10731-2023</t>
        </is>
      </c>
      <c r="B161" s="1" t="n">
        <v>44988</v>
      </c>
      <c r="C161" s="1" t="n">
        <v>46194</v>
      </c>
      <c r="D161" t="inlineStr">
        <is>
          <t>KALMAR LÄN</t>
        </is>
      </c>
      <c r="E161" t="inlineStr">
        <is>
          <t>KALMAR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49830-2022</t>
        </is>
      </c>
      <c r="B162" s="1" t="n">
        <v>44862</v>
      </c>
      <c r="C162" s="1" t="n">
        <v>46194</v>
      </c>
      <c r="D162" t="inlineStr">
        <is>
          <t>KALMAR LÄN</t>
        </is>
      </c>
      <c r="E162" t="inlineStr">
        <is>
          <t>KALMAR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60871-2021</t>
        </is>
      </c>
      <c r="B163" s="1" t="n">
        <v>44497</v>
      </c>
      <c r="C163" s="1" t="n">
        <v>46194</v>
      </c>
      <c r="D163" t="inlineStr">
        <is>
          <t>KALMAR LÄN</t>
        </is>
      </c>
      <c r="E163" t="inlineStr">
        <is>
          <t>KALMAR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47825-2022</t>
        </is>
      </c>
      <c r="B164" s="1" t="n">
        <v>44855</v>
      </c>
      <c r="C164" s="1" t="n">
        <v>46194</v>
      </c>
      <c r="D164" t="inlineStr">
        <is>
          <t>KALMAR LÄN</t>
        </is>
      </c>
      <c r="E164" t="inlineStr">
        <is>
          <t>KALMAR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48365-2022</t>
        </is>
      </c>
      <c r="B165" s="1" t="n">
        <v>44858</v>
      </c>
      <c r="C165" s="1" t="n">
        <v>46194</v>
      </c>
      <c r="D165" t="inlineStr">
        <is>
          <t>KALMAR LÄN</t>
        </is>
      </c>
      <c r="E165" t="inlineStr">
        <is>
          <t>KALMAR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44631-2021</t>
        </is>
      </c>
      <c r="B166" s="1" t="n">
        <v>44437</v>
      </c>
      <c r="C166" s="1" t="n">
        <v>46194</v>
      </c>
      <c r="D166" t="inlineStr">
        <is>
          <t>KALMAR LÄN</t>
        </is>
      </c>
      <c r="E166" t="inlineStr">
        <is>
          <t>KALMAR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51962-2024</t>
        </is>
      </c>
      <c r="B167" s="1" t="n">
        <v>45607</v>
      </c>
      <c r="C167" s="1" t="n">
        <v>46194</v>
      </c>
      <c r="D167" t="inlineStr">
        <is>
          <t>KALMAR LÄN</t>
        </is>
      </c>
      <c r="E167" t="inlineStr">
        <is>
          <t>KALMAR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23231-2023</t>
        </is>
      </c>
      <c r="B168" s="1" t="n">
        <v>45075</v>
      </c>
      <c r="C168" s="1" t="n">
        <v>46194</v>
      </c>
      <c r="D168" t="inlineStr">
        <is>
          <t>KALMAR LÄN</t>
        </is>
      </c>
      <c r="E168" t="inlineStr">
        <is>
          <t>KALMAR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36631-2023</t>
        </is>
      </c>
      <c r="B169" s="1" t="n">
        <v>45153</v>
      </c>
      <c r="C169" s="1" t="n">
        <v>46194</v>
      </c>
      <c r="D169" t="inlineStr">
        <is>
          <t>KALMAR LÄN</t>
        </is>
      </c>
      <c r="E169" t="inlineStr">
        <is>
          <t>KALMAR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19541-2023</t>
        </is>
      </c>
      <c r="B170" s="1" t="n">
        <v>45050</v>
      </c>
      <c r="C170" s="1" t="n">
        <v>46194</v>
      </c>
      <c r="D170" t="inlineStr">
        <is>
          <t>KALMAR LÄN</t>
        </is>
      </c>
      <c r="E170" t="inlineStr">
        <is>
          <t>KALMAR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47989-2022</t>
        </is>
      </c>
      <c r="B171" s="1" t="n">
        <v>44855</v>
      </c>
      <c r="C171" s="1" t="n">
        <v>46194</v>
      </c>
      <c r="D171" t="inlineStr">
        <is>
          <t>KALMAR LÄN</t>
        </is>
      </c>
      <c r="E171" t="inlineStr">
        <is>
          <t>KALMAR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35757-2021</t>
        </is>
      </c>
      <c r="B172" s="1" t="n">
        <v>44386</v>
      </c>
      <c r="C172" s="1" t="n">
        <v>46194</v>
      </c>
      <c r="D172" t="inlineStr">
        <is>
          <t>KALMAR LÄN</t>
        </is>
      </c>
      <c r="E172" t="inlineStr">
        <is>
          <t>KALMAR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59958-2022</t>
        </is>
      </c>
      <c r="B173" s="1" t="n">
        <v>44909</v>
      </c>
      <c r="C173" s="1" t="n">
        <v>46194</v>
      </c>
      <c r="D173" t="inlineStr">
        <is>
          <t>KALMAR LÄN</t>
        </is>
      </c>
      <c r="E173" t="inlineStr">
        <is>
          <t>KALMAR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25510-2022</t>
        </is>
      </c>
      <c r="B174" s="1" t="n">
        <v>44732</v>
      </c>
      <c r="C174" s="1" t="n">
        <v>46194</v>
      </c>
      <c r="D174" t="inlineStr">
        <is>
          <t>KALMAR LÄN</t>
        </is>
      </c>
      <c r="E174" t="inlineStr">
        <is>
          <t>KALMAR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35421-2021</t>
        </is>
      </c>
      <c r="B175" s="1" t="n">
        <v>44385</v>
      </c>
      <c r="C175" s="1" t="n">
        <v>46194</v>
      </c>
      <c r="D175" t="inlineStr">
        <is>
          <t>KALMAR LÄN</t>
        </is>
      </c>
      <c r="E175" t="inlineStr">
        <is>
          <t>KALMAR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62455-2022</t>
        </is>
      </c>
      <c r="B176" s="1" t="n">
        <v>44924</v>
      </c>
      <c r="C176" s="1" t="n">
        <v>46194</v>
      </c>
      <c r="D176" t="inlineStr">
        <is>
          <t>KALMAR LÄN</t>
        </is>
      </c>
      <c r="E176" t="inlineStr">
        <is>
          <t>KALMAR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37698-2022</t>
        </is>
      </c>
      <c r="B177" s="1" t="n">
        <v>44810</v>
      </c>
      <c r="C177" s="1" t="n">
        <v>46194</v>
      </c>
      <c r="D177" t="inlineStr">
        <is>
          <t>KALMAR LÄN</t>
        </is>
      </c>
      <c r="E177" t="inlineStr">
        <is>
          <t>KALMAR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64376-2021</t>
        </is>
      </c>
      <c r="B178" s="1" t="n">
        <v>44511</v>
      </c>
      <c r="C178" s="1" t="n">
        <v>46194</v>
      </c>
      <c r="D178" t="inlineStr">
        <is>
          <t>KALMAR LÄN</t>
        </is>
      </c>
      <c r="E178" t="inlineStr">
        <is>
          <t>KALMAR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26078-2023</t>
        </is>
      </c>
      <c r="B179" s="1" t="n">
        <v>45091</v>
      </c>
      <c r="C179" s="1" t="n">
        <v>46194</v>
      </c>
      <c r="D179" t="inlineStr">
        <is>
          <t>KALMAR LÄN</t>
        </is>
      </c>
      <c r="E179" t="inlineStr">
        <is>
          <t>KALMAR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49282-2021</t>
        </is>
      </c>
      <c r="B180" s="1" t="n">
        <v>44454</v>
      </c>
      <c r="C180" s="1" t="n">
        <v>46194</v>
      </c>
      <c r="D180" t="inlineStr">
        <is>
          <t>KALMAR LÄN</t>
        </is>
      </c>
      <c r="E180" t="inlineStr">
        <is>
          <t>KALMAR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47665-2021</t>
        </is>
      </c>
      <c r="B181" s="1" t="n">
        <v>44448</v>
      </c>
      <c r="C181" s="1" t="n">
        <v>46194</v>
      </c>
      <c r="D181" t="inlineStr">
        <is>
          <t>KALMAR LÄN</t>
        </is>
      </c>
      <c r="E181" t="inlineStr">
        <is>
          <t>KALMAR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39093-2024</t>
        </is>
      </c>
      <c r="B182" s="1" t="n">
        <v>45548</v>
      </c>
      <c r="C182" s="1" t="n">
        <v>46194</v>
      </c>
      <c r="D182" t="inlineStr">
        <is>
          <t>KALMAR LÄN</t>
        </is>
      </c>
      <c r="E182" t="inlineStr">
        <is>
          <t>KALMAR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35414-2021</t>
        </is>
      </c>
      <c r="B183" s="1" t="n">
        <v>44385</v>
      </c>
      <c r="C183" s="1" t="n">
        <v>46194</v>
      </c>
      <c r="D183" t="inlineStr">
        <is>
          <t>KALMAR LÄN</t>
        </is>
      </c>
      <c r="E183" t="inlineStr">
        <is>
          <t>KALMAR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18847-2023</t>
        </is>
      </c>
      <c r="B184" s="1" t="n">
        <v>45044</v>
      </c>
      <c r="C184" s="1" t="n">
        <v>46194</v>
      </c>
      <c r="D184" t="inlineStr">
        <is>
          <t>KALMAR LÄN</t>
        </is>
      </c>
      <c r="E184" t="inlineStr">
        <is>
          <t>KALMAR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39363-2024</t>
        </is>
      </c>
      <c r="B185" s="1" t="n">
        <v>45551</v>
      </c>
      <c r="C185" s="1" t="n">
        <v>46194</v>
      </c>
      <c r="D185" t="inlineStr">
        <is>
          <t>KALMAR LÄN</t>
        </is>
      </c>
      <c r="E185" t="inlineStr">
        <is>
          <t>KALMAR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51142-2021</t>
        </is>
      </c>
      <c r="B186" s="1" t="n">
        <v>44461</v>
      </c>
      <c r="C186" s="1" t="n">
        <v>46194</v>
      </c>
      <c r="D186" t="inlineStr">
        <is>
          <t>KALMAR LÄN</t>
        </is>
      </c>
      <c r="E186" t="inlineStr">
        <is>
          <t>KALMAR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5460-2022</t>
        </is>
      </c>
      <c r="B187" s="1" t="n">
        <v>44595</v>
      </c>
      <c r="C187" s="1" t="n">
        <v>46194</v>
      </c>
      <c r="D187" t="inlineStr">
        <is>
          <t>KALMAR LÄN</t>
        </is>
      </c>
      <c r="E187" t="inlineStr">
        <is>
          <t>KALMAR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5464-2022</t>
        </is>
      </c>
      <c r="B188" s="1" t="n">
        <v>44595</v>
      </c>
      <c r="C188" s="1" t="n">
        <v>46194</v>
      </c>
      <c r="D188" t="inlineStr">
        <is>
          <t>KALMAR LÄN</t>
        </is>
      </c>
      <c r="E188" t="inlineStr">
        <is>
          <t>KALMAR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6642-2024</t>
        </is>
      </c>
      <c r="B189" s="1" t="n">
        <v>45341</v>
      </c>
      <c r="C189" s="1" t="n">
        <v>46194</v>
      </c>
      <c r="D189" t="inlineStr">
        <is>
          <t>KALMAR LÄN</t>
        </is>
      </c>
      <c r="E189" t="inlineStr">
        <is>
          <t>KALMAR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6643-2024</t>
        </is>
      </c>
      <c r="B190" s="1" t="n">
        <v>45341</v>
      </c>
      <c r="C190" s="1" t="n">
        <v>46194</v>
      </c>
      <c r="D190" t="inlineStr">
        <is>
          <t>KALMAR LÄN</t>
        </is>
      </c>
      <c r="E190" t="inlineStr">
        <is>
          <t>KALMAR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16331-2023</t>
        </is>
      </c>
      <c r="B191" s="1" t="n">
        <v>45028</v>
      </c>
      <c r="C191" s="1" t="n">
        <v>46194</v>
      </c>
      <c r="D191" t="inlineStr">
        <is>
          <t>KALMAR LÄN</t>
        </is>
      </c>
      <c r="E191" t="inlineStr">
        <is>
          <t>KALMAR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61927-2021</t>
        </is>
      </c>
      <c r="B192" s="1" t="n">
        <v>44502</v>
      </c>
      <c r="C192" s="1" t="n">
        <v>46194</v>
      </c>
      <c r="D192" t="inlineStr">
        <is>
          <t>KALMAR LÄN</t>
        </is>
      </c>
      <c r="E192" t="inlineStr">
        <is>
          <t>KALMAR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6043-2025</t>
        </is>
      </c>
      <c r="B193" s="1" t="n">
        <v>45695</v>
      </c>
      <c r="C193" s="1" t="n">
        <v>46194</v>
      </c>
      <c r="D193" t="inlineStr">
        <is>
          <t>KALMAR LÄN</t>
        </is>
      </c>
      <c r="E193" t="inlineStr">
        <is>
          <t>KALMAR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4182-2024</t>
        </is>
      </c>
      <c r="B194" s="1" t="n">
        <v>45324</v>
      </c>
      <c r="C194" s="1" t="n">
        <v>46194</v>
      </c>
      <c r="D194" t="inlineStr">
        <is>
          <t>KALMAR LÄN</t>
        </is>
      </c>
      <c r="E194" t="inlineStr">
        <is>
          <t>KALMAR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58800-2023</t>
        </is>
      </c>
      <c r="B195" s="1" t="n">
        <v>45252</v>
      </c>
      <c r="C195" s="1" t="n">
        <v>46194</v>
      </c>
      <c r="D195" t="inlineStr">
        <is>
          <t>KALMAR LÄN</t>
        </is>
      </c>
      <c r="E195" t="inlineStr">
        <is>
          <t>KALMAR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28987-2023</t>
        </is>
      </c>
      <c r="B196" s="1" t="n">
        <v>45104</v>
      </c>
      <c r="C196" s="1" t="n">
        <v>46194</v>
      </c>
      <c r="D196" t="inlineStr">
        <is>
          <t>KALMAR LÄN</t>
        </is>
      </c>
      <c r="E196" t="inlineStr">
        <is>
          <t>KALMAR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26903-2024</t>
        </is>
      </c>
      <c r="B197" s="1" t="n">
        <v>45470</v>
      </c>
      <c r="C197" s="1" t="n">
        <v>46194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17085-2023</t>
        </is>
      </c>
      <c r="B198" s="1" t="n">
        <v>45034</v>
      </c>
      <c r="C198" s="1" t="n">
        <v>46194</v>
      </c>
      <c r="D198" t="inlineStr">
        <is>
          <t>KALMAR LÄN</t>
        </is>
      </c>
      <c r="E198" t="inlineStr">
        <is>
          <t>KALMAR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62281-2023</t>
        </is>
      </c>
      <c r="B199" s="1" t="n">
        <v>45267</v>
      </c>
      <c r="C199" s="1" t="n">
        <v>46194</v>
      </c>
      <c r="D199" t="inlineStr">
        <is>
          <t>KALMAR LÄN</t>
        </is>
      </c>
      <c r="E199" t="inlineStr">
        <is>
          <t>KALMAR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7471-2023</t>
        </is>
      </c>
      <c r="B200" s="1" t="n">
        <v>44971</v>
      </c>
      <c r="C200" s="1" t="n">
        <v>46194</v>
      </c>
      <c r="D200" t="inlineStr">
        <is>
          <t>KALMAR LÄN</t>
        </is>
      </c>
      <c r="E200" t="inlineStr">
        <is>
          <t>KALMAR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71192-2021</t>
        </is>
      </c>
      <c r="B201" s="1" t="n">
        <v>44539</v>
      </c>
      <c r="C201" s="1" t="n">
        <v>46194</v>
      </c>
      <c r="D201" t="inlineStr">
        <is>
          <t>KALMAR LÄN</t>
        </is>
      </c>
      <c r="E201" t="inlineStr">
        <is>
          <t>KALMAR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57138-2022</t>
        </is>
      </c>
      <c r="B202" s="1" t="n">
        <v>44895</v>
      </c>
      <c r="C202" s="1" t="n">
        <v>46194</v>
      </c>
      <c r="D202" t="inlineStr">
        <is>
          <t>KALMAR LÄN</t>
        </is>
      </c>
      <c r="E202" t="inlineStr">
        <is>
          <t>KALMAR</t>
        </is>
      </c>
      <c r="G202" t="n">
        <v>15.6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9649-2025</t>
        </is>
      </c>
      <c r="B203" s="1" t="n">
        <v>45716</v>
      </c>
      <c r="C203" s="1" t="n">
        <v>46194</v>
      </c>
      <c r="D203" t="inlineStr">
        <is>
          <t>KALMAR LÄN</t>
        </is>
      </c>
      <c r="E203" t="inlineStr">
        <is>
          <t>KALMAR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37305-2024</t>
        </is>
      </c>
      <c r="B204" s="1" t="n">
        <v>45540</v>
      </c>
      <c r="C204" s="1" t="n">
        <v>46194</v>
      </c>
      <c r="D204" t="inlineStr">
        <is>
          <t>KALMAR LÄN</t>
        </is>
      </c>
      <c r="E204" t="inlineStr">
        <is>
          <t>KALMAR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54806-2023</t>
        </is>
      </c>
      <c r="B205" s="1" t="n">
        <v>45236</v>
      </c>
      <c r="C205" s="1" t="n">
        <v>46194</v>
      </c>
      <c r="D205" t="inlineStr">
        <is>
          <t>KALMAR LÄN</t>
        </is>
      </c>
      <c r="E205" t="inlineStr">
        <is>
          <t>KALMAR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50055-2023</t>
        </is>
      </c>
      <c r="B206" s="1" t="n">
        <v>45215</v>
      </c>
      <c r="C206" s="1" t="n">
        <v>46194</v>
      </c>
      <c r="D206" t="inlineStr">
        <is>
          <t>KALMAR LÄN</t>
        </is>
      </c>
      <c r="E206" t="inlineStr">
        <is>
          <t>KALMAR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17701-2024</t>
        </is>
      </c>
      <c r="B207" s="1" t="n">
        <v>45418</v>
      </c>
      <c r="C207" s="1" t="n">
        <v>46194</v>
      </c>
      <c r="D207" t="inlineStr">
        <is>
          <t>KALMAR LÄN</t>
        </is>
      </c>
      <c r="E207" t="inlineStr">
        <is>
          <t>KALMAR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5575-2024</t>
        </is>
      </c>
      <c r="B208" s="1" t="n">
        <v>45334</v>
      </c>
      <c r="C208" s="1" t="n">
        <v>46194</v>
      </c>
      <c r="D208" t="inlineStr">
        <is>
          <t>KALMAR LÄN</t>
        </is>
      </c>
      <c r="E208" t="inlineStr">
        <is>
          <t>KALMAR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39748-2023</t>
        </is>
      </c>
      <c r="B209" s="1" t="n">
        <v>45167</v>
      </c>
      <c r="C209" s="1" t="n">
        <v>46194</v>
      </c>
      <c r="D209" t="inlineStr">
        <is>
          <t>KALMAR LÄN</t>
        </is>
      </c>
      <c r="E209" t="inlineStr">
        <is>
          <t>KALMAR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7415-2023</t>
        </is>
      </c>
      <c r="B210" s="1" t="n">
        <v>44971</v>
      </c>
      <c r="C210" s="1" t="n">
        <v>46194</v>
      </c>
      <c r="D210" t="inlineStr">
        <is>
          <t>KALMAR LÄN</t>
        </is>
      </c>
      <c r="E210" t="inlineStr">
        <is>
          <t>KALMAR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32499-2022</t>
        </is>
      </c>
      <c r="B211" s="1" t="n">
        <v>44782</v>
      </c>
      <c r="C211" s="1" t="n">
        <v>46194</v>
      </c>
      <c r="D211" t="inlineStr">
        <is>
          <t>KALMAR LÄN</t>
        </is>
      </c>
      <c r="E211" t="inlineStr">
        <is>
          <t>KALMAR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25740-2023</t>
        </is>
      </c>
      <c r="B212" s="1" t="n">
        <v>45090</v>
      </c>
      <c r="C212" s="1" t="n">
        <v>46194</v>
      </c>
      <c r="D212" t="inlineStr">
        <is>
          <t>KALMAR LÄN</t>
        </is>
      </c>
      <c r="E212" t="inlineStr">
        <is>
          <t>KALMAR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20658-2023</t>
        </is>
      </c>
      <c r="B213" s="1" t="n">
        <v>45058</v>
      </c>
      <c r="C213" s="1" t="n">
        <v>46194</v>
      </c>
      <c r="D213" t="inlineStr">
        <is>
          <t>KALMAR LÄN</t>
        </is>
      </c>
      <c r="E213" t="inlineStr">
        <is>
          <t>KALMAR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48933-2023</t>
        </is>
      </c>
      <c r="B214" s="1" t="n">
        <v>45209</v>
      </c>
      <c r="C214" s="1" t="n">
        <v>46194</v>
      </c>
      <c r="D214" t="inlineStr">
        <is>
          <t>KALMAR LÄN</t>
        </is>
      </c>
      <c r="E214" t="inlineStr">
        <is>
          <t>KALMAR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48943-2023</t>
        </is>
      </c>
      <c r="B215" s="1" t="n">
        <v>45209</v>
      </c>
      <c r="C215" s="1" t="n">
        <v>46194</v>
      </c>
      <c r="D215" t="inlineStr">
        <is>
          <t>KALMAR LÄN</t>
        </is>
      </c>
      <c r="E215" t="inlineStr">
        <is>
          <t>KALMAR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26087-2023</t>
        </is>
      </c>
      <c r="B216" s="1" t="n">
        <v>45091</v>
      </c>
      <c r="C216" s="1" t="n">
        <v>46194</v>
      </c>
      <c r="D216" t="inlineStr">
        <is>
          <t>KALMAR LÄN</t>
        </is>
      </c>
      <c r="E216" t="inlineStr">
        <is>
          <t>KALMAR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10365-2025</t>
        </is>
      </c>
      <c r="B217" s="1" t="n">
        <v>45720</v>
      </c>
      <c r="C217" s="1" t="n">
        <v>46194</v>
      </c>
      <c r="D217" t="inlineStr">
        <is>
          <t>KALMAR LÄN</t>
        </is>
      </c>
      <c r="E217" t="inlineStr">
        <is>
          <t>KALMAR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61285-2022</t>
        </is>
      </c>
      <c r="B218" s="1" t="n">
        <v>44915</v>
      </c>
      <c r="C218" s="1" t="n">
        <v>46194</v>
      </c>
      <c r="D218" t="inlineStr">
        <is>
          <t>KALMAR LÄN</t>
        </is>
      </c>
      <c r="E218" t="inlineStr">
        <is>
          <t>KALMAR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8122-2025</t>
        </is>
      </c>
      <c r="B219" s="1" t="n">
        <v>45707</v>
      </c>
      <c r="C219" s="1" t="n">
        <v>46194</v>
      </c>
      <c r="D219" t="inlineStr">
        <is>
          <t>KALMAR LÄN</t>
        </is>
      </c>
      <c r="E219" t="inlineStr">
        <is>
          <t>KALMAR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53388-2023</t>
        </is>
      </c>
      <c r="B220" s="1" t="n">
        <v>45229</v>
      </c>
      <c r="C220" s="1" t="n">
        <v>46194</v>
      </c>
      <c r="D220" t="inlineStr">
        <is>
          <t>KALMAR LÄN</t>
        </is>
      </c>
      <c r="E220" t="inlineStr">
        <is>
          <t>KALMAR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44981-2021</t>
        </is>
      </c>
      <c r="B221" s="1" t="n">
        <v>44438</v>
      </c>
      <c r="C221" s="1" t="n">
        <v>46194</v>
      </c>
      <c r="D221" t="inlineStr">
        <is>
          <t>KALMAR LÄN</t>
        </is>
      </c>
      <c r="E221" t="inlineStr">
        <is>
          <t>KALMAR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27471-2023</t>
        </is>
      </c>
      <c r="B222" s="1" t="n">
        <v>45097</v>
      </c>
      <c r="C222" s="1" t="n">
        <v>46194</v>
      </c>
      <c r="D222" t="inlineStr">
        <is>
          <t>KALMAR LÄN</t>
        </is>
      </c>
      <c r="E222" t="inlineStr">
        <is>
          <t>KALMAR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68423-2021</t>
        </is>
      </c>
      <c r="B223" s="1" t="n">
        <v>44529</v>
      </c>
      <c r="C223" s="1" t="n">
        <v>46194</v>
      </c>
      <c r="D223" t="inlineStr">
        <is>
          <t>KALMAR LÄN</t>
        </is>
      </c>
      <c r="E223" t="inlineStr">
        <is>
          <t>KALMAR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68423-2021</t>
        </is>
      </c>
      <c r="B224" s="1" t="n">
        <v>44529</v>
      </c>
      <c r="C224" s="1" t="n">
        <v>46194</v>
      </c>
      <c r="D224" t="inlineStr">
        <is>
          <t>KALMAR LÄN</t>
        </is>
      </c>
      <c r="E224" t="inlineStr">
        <is>
          <t>KALMAR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37447-2023</t>
        </is>
      </c>
      <c r="B225" s="1" t="n">
        <v>45156</v>
      </c>
      <c r="C225" s="1" t="n">
        <v>46194</v>
      </c>
      <c r="D225" t="inlineStr">
        <is>
          <t>KALMAR LÄN</t>
        </is>
      </c>
      <c r="E225" t="inlineStr">
        <is>
          <t>KALMAR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51152-2023</t>
        </is>
      </c>
      <c r="B226" s="1" t="n">
        <v>45219</v>
      </c>
      <c r="C226" s="1" t="n">
        <v>46194</v>
      </c>
      <c r="D226" t="inlineStr">
        <is>
          <t>KALMAR LÄN</t>
        </is>
      </c>
      <c r="E226" t="inlineStr">
        <is>
          <t>KALMAR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24646-2024</t>
        </is>
      </c>
      <c r="B227" s="1" t="n">
        <v>45460</v>
      </c>
      <c r="C227" s="1" t="n">
        <v>46194</v>
      </c>
      <c r="D227" t="inlineStr">
        <is>
          <t>KALMAR LÄN</t>
        </is>
      </c>
      <c r="E227" t="inlineStr">
        <is>
          <t>KALMAR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56510-2023</t>
        </is>
      </c>
      <c r="B228" s="1" t="n">
        <v>45243</v>
      </c>
      <c r="C228" s="1" t="n">
        <v>46194</v>
      </c>
      <c r="D228" t="inlineStr">
        <is>
          <t>KALMAR LÄN</t>
        </is>
      </c>
      <c r="E228" t="inlineStr">
        <is>
          <t>KALMAR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48225-2023</t>
        </is>
      </c>
      <c r="B229" s="1" t="n">
        <v>45205</v>
      </c>
      <c r="C229" s="1" t="n">
        <v>46194</v>
      </c>
      <c r="D229" t="inlineStr">
        <is>
          <t>KALMAR LÄN</t>
        </is>
      </c>
      <c r="E229" t="inlineStr">
        <is>
          <t>KALMAR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13571-2023</t>
        </is>
      </c>
      <c r="B230" s="1" t="n">
        <v>45006</v>
      </c>
      <c r="C230" s="1" t="n">
        <v>46194</v>
      </c>
      <c r="D230" t="inlineStr">
        <is>
          <t>KALMAR LÄN</t>
        </is>
      </c>
      <c r="E230" t="inlineStr">
        <is>
          <t>KALMAR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11487-2023</t>
        </is>
      </c>
      <c r="B231" s="1" t="n">
        <v>44993</v>
      </c>
      <c r="C231" s="1" t="n">
        <v>46194</v>
      </c>
      <c r="D231" t="inlineStr">
        <is>
          <t>KALMAR LÄN</t>
        </is>
      </c>
      <c r="E231" t="inlineStr">
        <is>
          <t>KALMAR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5332-2023</t>
        </is>
      </c>
      <c r="B232" s="1" t="n">
        <v>44959</v>
      </c>
      <c r="C232" s="1" t="n">
        <v>46194</v>
      </c>
      <c r="D232" t="inlineStr">
        <is>
          <t>KALMAR LÄN</t>
        </is>
      </c>
      <c r="E232" t="inlineStr">
        <is>
          <t>KALMAR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21384-2023</t>
        </is>
      </c>
      <c r="B233" s="1" t="n">
        <v>45061</v>
      </c>
      <c r="C233" s="1" t="n">
        <v>46194</v>
      </c>
      <c r="D233" t="inlineStr">
        <is>
          <t>KALMAR LÄN</t>
        </is>
      </c>
      <c r="E233" t="inlineStr">
        <is>
          <t>KALMAR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26097-2023</t>
        </is>
      </c>
      <c r="B234" s="1" t="n">
        <v>45091</v>
      </c>
      <c r="C234" s="1" t="n">
        <v>46194</v>
      </c>
      <c r="D234" t="inlineStr">
        <is>
          <t>KALMAR LÄN</t>
        </is>
      </c>
      <c r="E234" t="inlineStr">
        <is>
          <t>KALMAR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12265-2024</t>
        </is>
      </c>
      <c r="B235" s="1" t="n">
        <v>45378</v>
      </c>
      <c r="C235" s="1" t="n">
        <v>46194</v>
      </c>
      <c r="D235" t="inlineStr">
        <is>
          <t>KALMAR LÄN</t>
        </is>
      </c>
      <c r="E235" t="inlineStr">
        <is>
          <t>KALMAR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37433-2023</t>
        </is>
      </c>
      <c r="B236" s="1" t="n">
        <v>45156</v>
      </c>
      <c r="C236" s="1" t="n">
        <v>46194</v>
      </c>
      <c r="D236" t="inlineStr">
        <is>
          <t>KALMAR LÄN</t>
        </is>
      </c>
      <c r="E236" t="inlineStr">
        <is>
          <t>KALMAR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38781-2022</t>
        </is>
      </c>
      <c r="B237" s="1" t="n">
        <v>44816</v>
      </c>
      <c r="C237" s="1" t="n">
        <v>46194</v>
      </c>
      <c r="D237" t="inlineStr">
        <is>
          <t>KALMAR LÄN</t>
        </is>
      </c>
      <c r="E237" t="inlineStr">
        <is>
          <t>KALMAR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58357-2023</t>
        </is>
      </c>
      <c r="B238" s="1" t="n">
        <v>45250</v>
      </c>
      <c r="C238" s="1" t="n">
        <v>46194</v>
      </c>
      <c r="D238" t="inlineStr">
        <is>
          <t>KALMAR LÄN</t>
        </is>
      </c>
      <c r="E238" t="inlineStr">
        <is>
          <t>KALMAR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62940-2023</t>
        </is>
      </c>
      <c r="B239" s="1" t="n">
        <v>45272</v>
      </c>
      <c r="C239" s="1" t="n">
        <v>46194</v>
      </c>
      <c r="D239" t="inlineStr">
        <is>
          <t>KALMAR LÄN</t>
        </is>
      </c>
      <c r="E239" t="inlineStr">
        <is>
          <t>KALMAR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57489-2024</t>
        </is>
      </c>
      <c r="B240" s="1" t="n">
        <v>45630</v>
      </c>
      <c r="C240" s="1" t="n">
        <v>46194</v>
      </c>
      <c r="D240" t="inlineStr">
        <is>
          <t>KALMAR LÄN</t>
        </is>
      </c>
      <c r="E240" t="inlineStr">
        <is>
          <t>KALMAR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55992-2024</t>
        </is>
      </c>
      <c r="B241" s="1" t="n">
        <v>45623</v>
      </c>
      <c r="C241" s="1" t="n">
        <v>46194</v>
      </c>
      <c r="D241" t="inlineStr">
        <is>
          <t>KALMAR LÄN</t>
        </is>
      </c>
      <c r="E241" t="inlineStr">
        <is>
          <t>KALMAR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56592-2024</t>
        </is>
      </c>
      <c r="B242" s="1" t="n">
        <v>45625</v>
      </c>
      <c r="C242" s="1" t="n">
        <v>46194</v>
      </c>
      <c r="D242" t="inlineStr">
        <is>
          <t>KALMAR LÄN</t>
        </is>
      </c>
      <c r="E242" t="inlineStr">
        <is>
          <t>KALMAR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11812-2023</t>
        </is>
      </c>
      <c r="B243" s="1" t="n">
        <v>44994</v>
      </c>
      <c r="C243" s="1" t="n">
        <v>46194</v>
      </c>
      <c r="D243" t="inlineStr">
        <is>
          <t>KALMAR LÄN</t>
        </is>
      </c>
      <c r="E243" t="inlineStr">
        <is>
          <t>KALMAR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49711-2023</t>
        </is>
      </c>
      <c r="B244" s="1" t="n">
        <v>45212</v>
      </c>
      <c r="C244" s="1" t="n">
        <v>46194</v>
      </c>
      <c r="D244" t="inlineStr">
        <is>
          <t>KALMAR LÄN</t>
        </is>
      </c>
      <c r="E244" t="inlineStr">
        <is>
          <t>KALMAR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56125-2024</t>
        </is>
      </c>
      <c r="B245" s="1" t="n">
        <v>45624</v>
      </c>
      <c r="C245" s="1" t="n">
        <v>46194</v>
      </c>
      <c r="D245" t="inlineStr">
        <is>
          <t>KALMAR LÄN</t>
        </is>
      </c>
      <c r="E245" t="inlineStr">
        <is>
          <t>KALMAR</t>
        </is>
      </c>
      <c r="F245" t="inlineStr">
        <is>
          <t>Sveaskog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42369-2024</t>
        </is>
      </c>
      <c r="B246" s="1" t="n">
        <v>45564</v>
      </c>
      <c r="C246" s="1" t="n">
        <v>46194</v>
      </c>
      <c r="D246" t="inlineStr">
        <is>
          <t>KALMAR LÄN</t>
        </is>
      </c>
      <c r="E246" t="inlineStr">
        <is>
          <t>KALMAR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16804-2024</t>
        </is>
      </c>
      <c r="B247" s="1" t="n">
        <v>45411</v>
      </c>
      <c r="C247" s="1" t="n">
        <v>46194</v>
      </c>
      <c r="D247" t="inlineStr">
        <is>
          <t>KALMAR LÄN</t>
        </is>
      </c>
      <c r="E247" t="inlineStr">
        <is>
          <t>KALMAR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11417-2023</t>
        </is>
      </c>
      <c r="B248" s="1" t="n">
        <v>44993</v>
      </c>
      <c r="C248" s="1" t="n">
        <v>46194</v>
      </c>
      <c r="D248" t="inlineStr">
        <is>
          <t>KALMAR LÄN</t>
        </is>
      </c>
      <c r="E248" t="inlineStr">
        <is>
          <t>KALMAR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51979-2022</t>
        </is>
      </c>
      <c r="B249" s="1" t="n">
        <v>44872</v>
      </c>
      <c r="C249" s="1" t="n">
        <v>46194</v>
      </c>
      <c r="D249" t="inlineStr">
        <is>
          <t>KALMAR LÄN</t>
        </is>
      </c>
      <c r="E249" t="inlineStr">
        <is>
          <t>KALMAR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62457-2023</t>
        </is>
      </c>
      <c r="B250" s="1" t="n">
        <v>45268</v>
      </c>
      <c r="C250" s="1" t="n">
        <v>46194</v>
      </c>
      <c r="D250" t="inlineStr">
        <is>
          <t>KALMAR LÄN</t>
        </is>
      </c>
      <c r="E250" t="inlineStr">
        <is>
          <t>KALMAR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5903-2023</t>
        </is>
      </c>
      <c r="B251" s="1" t="n">
        <v>44963</v>
      </c>
      <c r="C251" s="1" t="n">
        <v>46194</v>
      </c>
      <c r="D251" t="inlineStr">
        <is>
          <t>KALMAR LÄN</t>
        </is>
      </c>
      <c r="E251" t="inlineStr">
        <is>
          <t>KALMAR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59957-2022</t>
        </is>
      </c>
      <c r="B252" s="1" t="n">
        <v>44909</v>
      </c>
      <c r="C252" s="1" t="n">
        <v>46194</v>
      </c>
      <c r="D252" t="inlineStr">
        <is>
          <t>KALMAR LÄN</t>
        </is>
      </c>
      <c r="E252" t="inlineStr">
        <is>
          <t>KALMAR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13414-2024</t>
        </is>
      </c>
      <c r="B253" s="1" t="n">
        <v>45387</v>
      </c>
      <c r="C253" s="1" t="n">
        <v>46194</v>
      </c>
      <c r="D253" t="inlineStr">
        <is>
          <t>KALMAR LÄN</t>
        </is>
      </c>
      <c r="E253" t="inlineStr">
        <is>
          <t>KALMAR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13416-2024</t>
        </is>
      </c>
      <c r="B254" s="1" t="n">
        <v>45387</v>
      </c>
      <c r="C254" s="1" t="n">
        <v>46194</v>
      </c>
      <c r="D254" t="inlineStr">
        <is>
          <t>KALMAR LÄN</t>
        </is>
      </c>
      <c r="E254" t="inlineStr">
        <is>
          <t>KALMAR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21799-2023</t>
        </is>
      </c>
      <c r="B255" s="1" t="n">
        <v>45067</v>
      </c>
      <c r="C255" s="1" t="n">
        <v>46194</v>
      </c>
      <c r="D255" t="inlineStr">
        <is>
          <t>KALMAR LÄN</t>
        </is>
      </c>
      <c r="E255" t="inlineStr">
        <is>
          <t>KALMAR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60851-2022</t>
        </is>
      </c>
      <c r="B256" s="1" t="n">
        <v>44914</v>
      </c>
      <c r="C256" s="1" t="n">
        <v>46194</v>
      </c>
      <c r="D256" t="inlineStr">
        <is>
          <t>KALMAR LÄN</t>
        </is>
      </c>
      <c r="E256" t="inlineStr">
        <is>
          <t>KALMAR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57630-2023</t>
        </is>
      </c>
      <c r="B257" s="1" t="n">
        <v>45246</v>
      </c>
      <c r="C257" s="1" t="n">
        <v>46194</v>
      </c>
      <c r="D257" t="inlineStr">
        <is>
          <t>KALMAR LÄN</t>
        </is>
      </c>
      <c r="E257" t="inlineStr">
        <is>
          <t>KALMAR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38453-2021</t>
        </is>
      </c>
      <c r="B258" s="1" t="n">
        <v>44407</v>
      </c>
      <c r="C258" s="1" t="n">
        <v>46194</v>
      </c>
      <c r="D258" t="inlineStr">
        <is>
          <t>KALMAR LÄN</t>
        </is>
      </c>
      <c r="E258" t="inlineStr">
        <is>
          <t>KALMAR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56293-2024</t>
        </is>
      </c>
      <c r="B259" s="1" t="n">
        <v>45624</v>
      </c>
      <c r="C259" s="1" t="n">
        <v>46194</v>
      </c>
      <c r="D259" t="inlineStr">
        <is>
          <t>KALMAR LÄN</t>
        </is>
      </c>
      <c r="E259" t="inlineStr">
        <is>
          <t>KALMAR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24002-2025</t>
        </is>
      </c>
      <c r="B260" s="1" t="n">
        <v>45796</v>
      </c>
      <c r="C260" s="1" t="n">
        <v>46194</v>
      </c>
      <c r="D260" t="inlineStr">
        <is>
          <t>KALMAR LÄN</t>
        </is>
      </c>
      <c r="E260" t="inlineStr">
        <is>
          <t>KALMAR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22825-2025</t>
        </is>
      </c>
      <c r="B261" s="1" t="n">
        <v>45789</v>
      </c>
      <c r="C261" s="1" t="n">
        <v>46194</v>
      </c>
      <c r="D261" t="inlineStr">
        <is>
          <t>KALMAR LÄN</t>
        </is>
      </c>
      <c r="E261" t="inlineStr">
        <is>
          <t>KALMAR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56119-2024</t>
        </is>
      </c>
      <c r="B262" s="1" t="n">
        <v>45624</v>
      </c>
      <c r="C262" s="1" t="n">
        <v>46194</v>
      </c>
      <c r="D262" t="inlineStr">
        <is>
          <t>KALMAR LÄN</t>
        </is>
      </c>
      <c r="E262" t="inlineStr">
        <is>
          <t>KALMAR</t>
        </is>
      </c>
      <c r="F262" t="inlineStr">
        <is>
          <t>Sveaskog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40171-2021</t>
        </is>
      </c>
      <c r="B263" s="1" t="n">
        <v>44418</v>
      </c>
      <c r="C263" s="1" t="n">
        <v>46194</v>
      </c>
      <c r="D263" t="inlineStr">
        <is>
          <t>KALMAR LÄN</t>
        </is>
      </c>
      <c r="E263" t="inlineStr">
        <is>
          <t>KALMAR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4026-2023</t>
        </is>
      </c>
      <c r="B264" s="1" t="n">
        <v>44952</v>
      </c>
      <c r="C264" s="1" t="n">
        <v>46194</v>
      </c>
      <c r="D264" t="inlineStr">
        <is>
          <t>KALMAR LÄN</t>
        </is>
      </c>
      <c r="E264" t="inlineStr">
        <is>
          <t>KALMAR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45868-2022</t>
        </is>
      </c>
      <c r="B265" s="1" t="n">
        <v>44846</v>
      </c>
      <c r="C265" s="1" t="n">
        <v>46194</v>
      </c>
      <c r="D265" t="inlineStr">
        <is>
          <t>KALMAR LÄN</t>
        </is>
      </c>
      <c r="E265" t="inlineStr">
        <is>
          <t>KALMAR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6539-2023</t>
        </is>
      </c>
      <c r="B266" s="1" t="n">
        <v>44966</v>
      </c>
      <c r="C266" s="1" t="n">
        <v>46194</v>
      </c>
      <c r="D266" t="inlineStr">
        <is>
          <t>KALMAR LÄN</t>
        </is>
      </c>
      <c r="E266" t="inlineStr">
        <is>
          <t>KALMAR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58800-2024</t>
        </is>
      </c>
      <c r="B267" s="1" t="n">
        <v>45636</v>
      </c>
      <c r="C267" s="1" t="n">
        <v>46194</v>
      </c>
      <c r="D267" t="inlineStr">
        <is>
          <t>KALMAR LÄN</t>
        </is>
      </c>
      <c r="E267" t="inlineStr">
        <is>
          <t>KALMAR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9712-2023</t>
        </is>
      </c>
      <c r="B268" s="1" t="n">
        <v>44984</v>
      </c>
      <c r="C268" s="1" t="n">
        <v>46194</v>
      </c>
      <c r="D268" t="inlineStr">
        <is>
          <t>KALMAR LÄN</t>
        </is>
      </c>
      <c r="E268" t="inlineStr">
        <is>
          <t>KALMAR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HYPERLINK("https://klasma.github.io/Logging_0880/knärot/A 9712-2023 karta knärot.png", "A 9712-2023")</f>
        <v/>
      </c>
      <c r="V268">
        <f>HYPERLINK("https://klasma.github.io/Logging_0880/klagomål/A 9712-2023 FSC-klagomål.docx", "A 9712-2023")</f>
        <v/>
      </c>
      <c r="W268">
        <f>HYPERLINK("https://klasma.github.io/Logging_0880/klagomålsmail/A 9712-2023 FSC-klagomål mail.docx", "A 9712-2023")</f>
        <v/>
      </c>
      <c r="X268">
        <f>HYPERLINK("https://klasma.github.io/Logging_0880/tillsyn/A 9712-2023 tillsynsbegäran.docx", "A 9712-2023")</f>
        <v/>
      </c>
      <c r="Y268">
        <f>HYPERLINK("https://klasma.github.io/Logging_0880/tillsynsmail/A 9712-2023 tillsynsbegäran mail.docx", "A 9712-2023")</f>
        <v/>
      </c>
    </row>
    <row r="269" ht="15" customHeight="1">
      <c r="A269" t="inlineStr">
        <is>
          <t>A 9727-2023</t>
        </is>
      </c>
      <c r="B269" s="1" t="n">
        <v>44984</v>
      </c>
      <c r="C269" s="1" t="n">
        <v>46194</v>
      </c>
      <c r="D269" t="inlineStr">
        <is>
          <t>KALMAR LÄN</t>
        </is>
      </c>
      <c r="E269" t="inlineStr">
        <is>
          <t>KALMAR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30504-2024</t>
        </is>
      </c>
      <c r="B270" s="1" t="n">
        <v>45492</v>
      </c>
      <c r="C270" s="1" t="n">
        <v>46194</v>
      </c>
      <c r="D270" t="inlineStr">
        <is>
          <t>KALMAR LÄN</t>
        </is>
      </c>
      <c r="E270" t="inlineStr">
        <is>
          <t>KALMAR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24001-2025</t>
        </is>
      </c>
      <c r="B271" s="1" t="n">
        <v>45796</v>
      </c>
      <c r="C271" s="1" t="n">
        <v>46194</v>
      </c>
      <c r="D271" t="inlineStr">
        <is>
          <t>KALMAR LÄN</t>
        </is>
      </c>
      <c r="E271" t="inlineStr">
        <is>
          <t>KALMAR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27600-2023</t>
        </is>
      </c>
      <c r="B272" s="1" t="n">
        <v>45097</v>
      </c>
      <c r="C272" s="1" t="n">
        <v>46194</v>
      </c>
      <c r="D272" t="inlineStr">
        <is>
          <t>KALMAR LÄN</t>
        </is>
      </c>
      <c r="E272" t="inlineStr">
        <is>
          <t>KALMAR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7742-2023</t>
        </is>
      </c>
      <c r="B273" s="1" t="n">
        <v>44973</v>
      </c>
      <c r="C273" s="1" t="n">
        <v>46194</v>
      </c>
      <c r="D273" t="inlineStr">
        <is>
          <t>KALMAR LÄN</t>
        </is>
      </c>
      <c r="E273" t="inlineStr">
        <is>
          <t>KALMAR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54745-2024</t>
        </is>
      </c>
      <c r="B274" s="1" t="n">
        <v>45618</v>
      </c>
      <c r="C274" s="1" t="n">
        <v>46194</v>
      </c>
      <c r="D274" t="inlineStr">
        <is>
          <t>KALMAR LÄN</t>
        </is>
      </c>
      <c r="E274" t="inlineStr">
        <is>
          <t>KALMAR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39688-2025</t>
        </is>
      </c>
      <c r="B275" s="1" t="n">
        <v>45890</v>
      </c>
      <c r="C275" s="1" t="n">
        <v>46194</v>
      </c>
      <c r="D275" t="inlineStr">
        <is>
          <t>KALMAR LÄN</t>
        </is>
      </c>
      <c r="E275" t="inlineStr">
        <is>
          <t>KALMAR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1598-2024</t>
        </is>
      </c>
      <c r="B276" s="1" t="n">
        <v>45306</v>
      </c>
      <c r="C276" s="1" t="n">
        <v>46194</v>
      </c>
      <c r="D276" t="inlineStr">
        <is>
          <t>KALMAR LÄN</t>
        </is>
      </c>
      <c r="E276" t="inlineStr">
        <is>
          <t>KALMAR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12925-2023</t>
        </is>
      </c>
      <c r="B277" s="1" t="n">
        <v>45001</v>
      </c>
      <c r="C277" s="1" t="n">
        <v>46194</v>
      </c>
      <c r="D277" t="inlineStr">
        <is>
          <t>KALMAR LÄN</t>
        </is>
      </c>
      <c r="E277" t="inlineStr">
        <is>
          <t>KALMAR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56921-2024</t>
        </is>
      </c>
      <c r="B278" s="1" t="n">
        <v>45628</v>
      </c>
      <c r="C278" s="1" t="n">
        <v>46194</v>
      </c>
      <c r="D278" t="inlineStr">
        <is>
          <t>KALMAR LÄN</t>
        </is>
      </c>
      <c r="E278" t="inlineStr">
        <is>
          <t>KALMAR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27109-2023</t>
        </is>
      </c>
      <c r="B279" s="1" t="n">
        <v>45096</v>
      </c>
      <c r="C279" s="1" t="n">
        <v>46194</v>
      </c>
      <c r="D279" t="inlineStr">
        <is>
          <t>KALMAR LÄN</t>
        </is>
      </c>
      <c r="E279" t="inlineStr">
        <is>
          <t>KALMAR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34736-2023</t>
        </is>
      </c>
      <c r="B280" s="1" t="n">
        <v>45141</v>
      </c>
      <c r="C280" s="1" t="n">
        <v>46194</v>
      </c>
      <c r="D280" t="inlineStr">
        <is>
          <t>KALMAR LÄN</t>
        </is>
      </c>
      <c r="E280" t="inlineStr">
        <is>
          <t>KALMAR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3566-2025</t>
        </is>
      </c>
      <c r="B281" s="1" t="n">
        <v>45680</v>
      </c>
      <c r="C281" s="1" t="n">
        <v>46194</v>
      </c>
      <c r="D281" t="inlineStr">
        <is>
          <t>KALMAR LÄN</t>
        </is>
      </c>
      <c r="E281" t="inlineStr">
        <is>
          <t>KALMAR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11388-2023</t>
        </is>
      </c>
      <c r="B282" s="1" t="n">
        <v>44993</v>
      </c>
      <c r="C282" s="1" t="n">
        <v>46194</v>
      </c>
      <c r="D282" t="inlineStr">
        <is>
          <t>KALMAR LÄN</t>
        </is>
      </c>
      <c r="E282" t="inlineStr">
        <is>
          <t>KALMAR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38180-2021</t>
        </is>
      </c>
      <c r="B283" s="1" t="n">
        <v>44405</v>
      </c>
      <c r="C283" s="1" t="n">
        <v>46194</v>
      </c>
      <c r="D283" t="inlineStr">
        <is>
          <t>KALMAR LÄN</t>
        </is>
      </c>
      <c r="E283" t="inlineStr">
        <is>
          <t>KALMAR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41073-2023</t>
        </is>
      </c>
      <c r="B284" s="1" t="n">
        <v>45173</v>
      </c>
      <c r="C284" s="1" t="n">
        <v>46194</v>
      </c>
      <c r="D284" t="inlineStr">
        <is>
          <t>KALMAR LÄN</t>
        </is>
      </c>
      <c r="E284" t="inlineStr">
        <is>
          <t>KALMAR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25515-2022</t>
        </is>
      </c>
      <c r="B285" s="1" t="n">
        <v>44732</v>
      </c>
      <c r="C285" s="1" t="n">
        <v>46194</v>
      </c>
      <c r="D285" t="inlineStr">
        <is>
          <t>KALMAR LÄN</t>
        </is>
      </c>
      <c r="E285" t="inlineStr">
        <is>
          <t>KALMAR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62457-2022</t>
        </is>
      </c>
      <c r="B286" s="1" t="n">
        <v>44924</v>
      </c>
      <c r="C286" s="1" t="n">
        <v>46194</v>
      </c>
      <c r="D286" t="inlineStr">
        <is>
          <t>KALMAR LÄN</t>
        </is>
      </c>
      <c r="E286" t="inlineStr">
        <is>
          <t>KALMAR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41155-2023</t>
        </is>
      </c>
      <c r="B287" s="1" t="n">
        <v>45174</v>
      </c>
      <c r="C287" s="1" t="n">
        <v>46194</v>
      </c>
      <c r="D287" t="inlineStr">
        <is>
          <t>KALMAR LÄN</t>
        </is>
      </c>
      <c r="E287" t="inlineStr">
        <is>
          <t>KALMAR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38244-2023</t>
        </is>
      </c>
      <c r="B288" s="1" t="n">
        <v>45161</v>
      </c>
      <c r="C288" s="1" t="n">
        <v>46194</v>
      </c>
      <c r="D288" t="inlineStr">
        <is>
          <t>KALMAR LÄN</t>
        </is>
      </c>
      <c r="E288" t="inlineStr">
        <is>
          <t>KALMAR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59455-2023</t>
        </is>
      </c>
      <c r="B289" s="1" t="n">
        <v>45254</v>
      </c>
      <c r="C289" s="1" t="n">
        <v>46194</v>
      </c>
      <c r="D289" t="inlineStr">
        <is>
          <t>KALMAR LÄN</t>
        </is>
      </c>
      <c r="E289" t="inlineStr">
        <is>
          <t>KALMAR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31334-2023</t>
        </is>
      </c>
      <c r="B290" s="1" t="n">
        <v>45114</v>
      </c>
      <c r="C290" s="1" t="n">
        <v>46194</v>
      </c>
      <c r="D290" t="inlineStr">
        <is>
          <t>KALMAR LÄN</t>
        </is>
      </c>
      <c r="E290" t="inlineStr">
        <is>
          <t>KALMAR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39701-2025</t>
        </is>
      </c>
      <c r="B291" s="1" t="n">
        <v>45890</v>
      </c>
      <c r="C291" s="1" t="n">
        <v>46194</v>
      </c>
      <c r="D291" t="inlineStr">
        <is>
          <t>KALMAR LÄN</t>
        </is>
      </c>
      <c r="E291" t="inlineStr">
        <is>
          <t>KALMAR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27565-2023</t>
        </is>
      </c>
      <c r="B292" s="1" t="n">
        <v>45097</v>
      </c>
      <c r="C292" s="1" t="n">
        <v>46194</v>
      </c>
      <c r="D292" t="inlineStr">
        <is>
          <t>KALMAR LÄN</t>
        </is>
      </c>
      <c r="E292" t="inlineStr">
        <is>
          <t>KALMAR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51155-2023</t>
        </is>
      </c>
      <c r="B293" s="1" t="n">
        <v>45219</v>
      </c>
      <c r="C293" s="1" t="n">
        <v>46194</v>
      </c>
      <c r="D293" t="inlineStr">
        <is>
          <t>KALMAR LÄN</t>
        </is>
      </c>
      <c r="E293" t="inlineStr">
        <is>
          <t>KALMAR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56905-2024</t>
        </is>
      </c>
      <c r="B294" s="1" t="n">
        <v>45628</v>
      </c>
      <c r="C294" s="1" t="n">
        <v>46194</v>
      </c>
      <c r="D294" t="inlineStr">
        <is>
          <t>KALMAR LÄN</t>
        </is>
      </c>
      <c r="E294" t="inlineStr">
        <is>
          <t>KALMAR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38071-2024</t>
        </is>
      </c>
      <c r="B295" s="1" t="n">
        <v>45544</v>
      </c>
      <c r="C295" s="1" t="n">
        <v>46194</v>
      </c>
      <c r="D295" t="inlineStr">
        <is>
          <t>KALMAR LÄN</t>
        </is>
      </c>
      <c r="E295" t="inlineStr">
        <is>
          <t>KALMAR</t>
        </is>
      </c>
      <c r="F295" t="inlineStr">
        <is>
          <t>Kommuner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62941-2023</t>
        </is>
      </c>
      <c r="B296" s="1" t="n">
        <v>45272</v>
      </c>
      <c r="C296" s="1" t="n">
        <v>46194</v>
      </c>
      <c r="D296" t="inlineStr">
        <is>
          <t>KALMAR LÄN</t>
        </is>
      </c>
      <c r="E296" t="inlineStr">
        <is>
          <t>KALMAR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31045-2023</t>
        </is>
      </c>
      <c r="B297" s="1" t="n">
        <v>45113</v>
      </c>
      <c r="C297" s="1" t="n">
        <v>46194</v>
      </c>
      <c r="D297" t="inlineStr">
        <is>
          <t>KALMAR LÄN</t>
        </is>
      </c>
      <c r="E297" t="inlineStr">
        <is>
          <t>KALMAR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27947-2024</t>
        </is>
      </c>
      <c r="B298" s="1" t="n">
        <v>45476</v>
      </c>
      <c r="C298" s="1" t="n">
        <v>46194</v>
      </c>
      <c r="D298" t="inlineStr">
        <is>
          <t>KALMAR LÄN</t>
        </is>
      </c>
      <c r="E298" t="inlineStr">
        <is>
          <t>KALMAR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40986-2023</t>
        </is>
      </c>
      <c r="B299" s="1" t="n">
        <v>45173</v>
      </c>
      <c r="C299" s="1" t="n">
        <v>46194</v>
      </c>
      <c r="D299" t="inlineStr">
        <is>
          <t>KALMAR LÄN</t>
        </is>
      </c>
      <c r="E299" t="inlineStr">
        <is>
          <t>KALMAR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7495-2023</t>
        </is>
      </c>
      <c r="B300" s="1" t="n">
        <v>44971</v>
      </c>
      <c r="C300" s="1" t="n">
        <v>46194</v>
      </c>
      <c r="D300" t="inlineStr">
        <is>
          <t>KALMAR LÄN</t>
        </is>
      </c>
      <c r="E300" t="inlineStr">
        <is>
          <t>KALMAR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41941-2025</t>
        </is>
      </c>
      <c r="B301" s="1" t="n">
        <v>45903</v>
      </c>
      <c r="C301" s="1" t="n">
        <v>46194</v>
      </c>
      <c r="D301" t="inlineStr">
        <is>
          <t>KALMAR LÄN</t>
        </is>
      </c>
      <c r="E301" t="inlineStr">
        <is>
          <t>KALMAR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34855-2022</t>
        </is>
      </c>
      <c r="B302" s="1" t="n">
        <v>44796</v>
      </c>
      <c r="C302" s="1" t="n">
        <v>46194</v>
      </c>
      <c r="D302" t="inlineStr">
        <is>
          <t>KALMAR LÄN</t>
        </is>
      </c>
      <c r="E302" t="inlineStr">
        <is>
          <t>KALMAR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33141-2025</t>
        </is>
      </c>
      <c r="B303" s="1" t="n">
        <v>45840</v>
      </c>
      <c r="C303" s="1" t="n">
        <v>46194</v>
      </c>
      <c r="D303" t="inlineStr">
        <is>
          <t>KALMAR LÄN</t>
        </is>
      </c>
      <c r="E303" t="inlineStr">
        <is>
          <t>KALMAR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20182-2026</t>
        </is>
      </c>
      <c r="B304" s="1" t="n">
        <v>46139</v>
      </c>
      <c r="C304" s="1" t="n">
        <v>46194</v>
      </c>
      <c r="D304" t="inlineStr">
        <is>
          <t>KALMAR LÄN</t>
        </is>
      </c>
      <c r="E304" t="inlineStr">
        <is>
          <t>KALMAR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20203-2026</t>
        </is>
      </c>
      <c r="B305" s="1" t="n">
        <v>46139</v>
      </c>
      <c r="C305" s="1" t="n">
        <v>46194</v>
      </c>
      <c r="D305" t="inlineStr">
        <is>
          <t>KALMAR LÄN</t>
        </is>
      </c>
      <c r="E305" t="inlineStr">
        <is>
          <t>KALMAR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40647-2022</t>
        </is>
      </c>
      <c r="B306" s="1" t="n">
        <v>44824</v>
      </c>
      <c r="C306" s="1" t="n">
        <v>46194</v>
      </c>
      <c r="D306" t="inlineStr">
        <is>
          <t>KALMAR LÄN</t>
        </is>
      </c>
      <c r="E306" t="inlineStr">
        <is>
          <t>KALMAR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13141-2025</t>
        </is>
      </c>
      <c r="B307" s="1" t="n">
        <v>45735</v>
      </c>
      <c r="C307" s="1" t="n">
        <v>46194</v>
      </c>
      <c r="D307" t="inlineStr">
        <is>
          <t>KALMAR LÄN</t>
        </is>
      </c>
      <c r="E307" t="inlineStr">
        <is>
          <t>KALMAR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43892-2025</t>
        </is>
      </c>
      <c r="B308" s="1" t="n">
        <v>45912</v>
      </c>
      <c r="C308" s="1" t="n">
        <v>46194</v>
      </c>
      <c r="D308" t="inlineStr">
        <is>
          <t>KALMAR LÄN</t>
        </is>
      </c>
      <c r="E308" t="inlineStr">
        <is>
          <t>KALMAR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43891-2025</t>
        </is>
      </c>
      <c r="B309" s="1" t="n">
        <v>45912</v>
      </c>
      <c r="C309" s="1" t="n">
        <v>46194</v>
      </c>
      <c r="D309" t="inlineStr">
        <is>
          <t>KALMAR LÄN</t>
        </is>
      </c>
      <c r="E309" t="inlineStr">
        <is>
          <t>KALMAR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22-2022</t>
        </is>
      </c>
      <c r="B310" s="1" t="n">
        <v>44564</v>
      </c>
      <c r="C310" s="1" t="n">
        <v>46194</v>
      </c>
      <c r="D310" t="inlineStr">
        <is>
          <t>KALMAR LÄN</t>
        </is>
      </c>
      <c r="E310" t="inlineStr">
        <is>
          <t>KALMAR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41633-2023</t>
        </is>
      </c>
      <c r="B311" s="1" t="n">
        <v>45175</v>
      </c>
      <c r="C311" s="1" t="n">
        <v>46194</v>
      </c>
      <c r="D311" t="inlineStr">
        <is>
          <t>KALMAR LÄN</t>
        </is>
      </c>
      <c r="E311" t="inlineStr">
        <is>
          <t>KALMAR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26094-2023</t>
        </is>
      </c>
      <c r="B312" s="1" t="n">
        <v>45091</v>
      </c>
      <c r="C312" s="1" t="n">
        <v>46194</v>
      </c>
      <c r="D312" t="inlineStr">
        <is>
          <t>KALMAR LÄN</t>
        </is>
      </c>
      <c r="E312" t="inlineStr">
        <is>
          <t>KALMAR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10614-2023</t>
        </is>
      </c>
      <c r="B313" s="1" t="n">
        <v>44988</v>
      </c>
      <c r="C313" s="1" t="n">
        <v>46194</v>
      </c>
      <c r="D313" t="inlineStr">
        <is>
          <t>KALMAR LÄN</t>
        </is>
      </c>
      <c r="E313" t="inlineStr">
        <is>
          <t>KALMAR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44172-2025</t>
        </is>
      </c>
      <c r="B314" s="1" t="n">
        <v>45915</v>
      </c>
      <c r="C314" s="1" t="n">
        <v>46194</v>
      </c>
      <c r="D314" t="inlineStr">
        <is>
          <t>KALMAR LÄN</t>
        </is>
      </c>
      <c r="E314" t="inlineStr">
        <is>
          <t>KALMAR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57036-2021</t>
        </is>
      </c>
      <c r="B315" s="1" t="n">
        <v>44482</v>
      </c>
      <c r="C315" s="1" t="n">
        <v>46194</v>
      </c>
      <c r="D315" t="inlineStr">
        <is>
          <t>KALMAR LÄN</t>
        </is>
      </c>
      <c r="E315" t="inlineStr">
        <is>
          <t>KALMAR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44046-2023</t>
        </is>
      </c>
      <c r="B316" s="1" t="n">
        <v>45188</v>
      </c>
      <c r="C316" s="1" t="n">
        <v>46194</v>
      </c>
      <c r="D316" t="inlineStr">
        <is>
          <t>KALMAR LÄN</t>
        </is>
      </c>
      <c r="E316" t="inlineStr">
        <is>
          <t>KALMAR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42655-2023</t>
        </is>
      </c>
      <c r="B317" s="1" t="n">
        <v>45181</v>
      </c>
      <c r="C317" s="1" t="n">
        <v>46194</v>
      </c>
      <c r="D317" t="inlineStr">
        <is>
          <t>KALMAR LÄN</t>
        </is>
      </c>
      <c r="E317" t="inlineStr">
        <is>
          <t>KALMAR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53196-2023</t>
        </is>
      </c>
      <c r="B318" s="1" t="n">
        <v>45229</v>
      </c>
      <c r="C318" s="1" t="n">
        <v>46194</v>
      </c>
      <c r="D318" t="inlineStr">
        <is>
          <t>KALMAR LÄN</t>
        </is>
      </c>
      <c r="E318" t="inlineStr">
        <is>
          <t>KALMAR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16326-2023</t>
        </is>
      </c>
      <c r="B319" s="1" t="n">
        <v>45028</v>
      </c>
      <c r="C319" s="1" t="n">
        <v>46194</v>
      </c>
      <c r="D319" t="inlineStr">
        <is>
          <t>KALMAR LÄN</t>
        </is>
      </c>
      <c r="E319" t="inlineStr">
        <is>
          <t>KALMAR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20913-2024</t>
        </is>
      </c>
      <c r="B320" s="1" t="n">
        <v>45439</v>
      </c>
      <c r="C320" s="1" t="n">
        <v>46194</v>
      </c>
      <c r="D320" t="inlineStr">
        <is>
          <t>KALMAR LÄN</t>
        </is>
      </c>
      <c r="E320" t="inlineStr">
        <is>
          <t>KALMAR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57626-2023</t>
        </is>
      </c>
      <c r="B321" s="1" t="n">
        <v>45246</v>
      </c>
      <c r="C321" s="1" t="n">
        <v>46194</v>
      </c>
      <c r="D321" t="inlineStr">
        <is>
          <t>KALMAR LÄN</t>
        </is>
      </c>
      <c r="E321" t="inlineStr">
        <is>
          <t>KALMAR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39350-2024</t>
        </is>
      </c>
      <c r="B322" s="1" t="n">
        <v>45551</v>
      </c>
      <c r="C322" s="1" t="n">
        <v>46194</v>
      </c>
      <c r="D322" t="inlineStr">
        <is>
          <t>KALMAR LÄN</t>
        </is>
      </c>
      <c r="E322" t="inlineStr">
        <is>
          <t>KALMAR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40814-2024</t>
        </is>
      </c>
      <c r="B323" s="1" t="n">
        <v>45558</v>
      </c>
      <c r="C323" s="1" t="n">
        <v>46194</v>
      </c>
      <c r="D323" t="inlineStr">
        <is>
          <t>KALMAR LÄN</t>
        </is>
      </c>
      <c r="E323" t="inlineStr">
        <is>
          <t>KALMAR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20611-2025</t>
        </is>
      </c>
      <c r="B324" s="1" t="n">
        <v>45775</v>
      </c>
      <c r="C324" s="1" t="n">
        <v>46194</v>
      </c>
      <c r="D324" t="inlineStr">
        <is>
          <t>KALMAR LÄN</t>
        </is>
      </c>
      <c r="E324" t="inlineStr">
        <is>
          <t>KALMAR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17067-2023</t>
        </is>
      </c>
      <c r="B325" s="1" t="n">
        <v>45034</v>
      </c>
      <c r="C325" s="1" t="n">
        <v>46194</v>
      </c>
      <c r="D325" t="inlineStr">
        <is>
          <t>KALMAR LÄN</t>
        </is>
      </c>
      <c r="E325" t="inlineStr">
        <is>
          <t>KALMAR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21964-2024</t>
        </is>
      </c>
      <c r="B326" s="1" t="n">
        <v>45443</v>
      </c>
      <c r="C326" s="1" t="n">
        <v>46194</v>
      </c>
      <c r="D326" t="inlineStr">
        <is>
          <t>KALMAR LÄN</t>
        </is>
      </c>
      <c r="E326" t="inlineStr">
        <is>
          <t>KALMAR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32945-2021</t>
        </is>
      </c>
      <c r="B327" s="1" t="n">
        <v>44375</v>
      </c>
      <c r="C327" s="1" t="n">
        <v>46194</v>
      </c>
      <c r="D327" t="inlineStr">
        <is>
          <t>KALMAR LÄN</t>
        </is>
      </c>
      <c r="E327" t="inlineStr">
        <is>
          <t>KALMAR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40449-2022</t>
        </is>
      </c>
      <c r="B328" s="1" t="n">
        <v>44823</v>
      </c>
      <c r="C328" s="1" t="n">
        <v>46194</v>
      </c>
      <c r="D328" t="inlineStr">
        <is>
          <t>KALMAR LÄN</t>
        </is>
      </c>
      <c r="E328" t="inlineStr">
        <is>
          <t>KALMAR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40457-2022</t>
        </is>
      </c>
      <c r="B329" s="1" t="n">
        <v>44823</v>
      </c>
      <c r="C329" s="1" t="n">
        <v>46194</v>
      </c>
      <c r="D329" t="inlineStr">
        <is>
          <t>KALMAR LÄN</t>
        </is>
      </c>
      <c r="E329" t="inlineStr">
        <is>
          <t>KALMAR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21471-2025</t>
        </is>
      </c>
      <c r="B330" s="1" t="n">
        <v>45782</v>
      </c>
      <c r="C330" s="1" t="n">
        <v>46194</v>
      </c>
      <c r="D330" t="inlineStr">
        <is>
          <t>KALMAR LÄN</t>
        </is>
      </c>
      <c r="E330" t="inlineStr">
        <is>
          <t>KALMAR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11614-2025</t>
        </is>
      </c>
      <c r="B331" s="1" t="n">
        <v>45727</v>
      </c>
      <c r="C331" s="1" t="n">
        <v>46194</v>
      </c>
      <c r="D331" t="inlineStr">
        <is>
          <t>KALMAR LÄN</t>
        </is>
      </c>
      <c r="E331" t="inlineStr">
        <is>
          <t>KALMAR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45910-2025</t>
        </is>
      </c>
      <c r="B332" s="1" t="n">
        <v>45923</v>
      </c>
      <c r="C332" s="1" t="n">
        <v>46194</v>
      </c>
      <c r="D332" t="inlineStr">
        <is>
          <t>KALMAR LÄN</t>
        </is>
      </c>
      <c r="E332" t="inlineStr">
        <is>
          <t>KALMAR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46092-2025</t>
        </is>
      </c>
      <c r="B333" s="1" t="n">
        <v>45924</v>
      </c>
      <c r="C333" s="1" t="n">
        <v>46194</v>
      </c>
      <c r="D333" t="inlineStr">
        <is>
          <t>KALMAR LÄN</t>
        </is>
      </c>
      <c r="E333" t="inlineStr">
        <is>
          <t>KALMAR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45691-2025</t>
        </is>
      </c>
      <c r="B334" s="1" t="n">
        <v>45923</v>
      </c>
      <c r="C334" s="1" t="n">
        <v>46194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9534-2022</t>
        </is>
      </c>
      <c r="B335" s="1" t="n">
        <v>44617</v>
      </c>
      <c r="C335" s="1" t="n">
        <v>46194</v>
      </c>
      <c r="D335" t="inlineStr">
        <is>
          <t>KALMAR LÄN</t>
        </is>
      </c>
      <c r="E335" t="inlineStr">
        <is>
          <t>KALMAR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9535-2022</t>
        </is>
      </c>
      <c r="B336" s="1" t="n">
        <v>44617</v>
      </c>
      <c r="C336" s="1" t="n">
        <v>46194</v>
      </c>
      <c r="D336" t="inlineStr">
        <is>
          <t>KALMAR LÄN</t>
        </is>
      </c>
      <c r="E336" t="inlineStr">
        <is>
          <t>KALMAR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20188-2026</t>
        </is>
      </c>
      <c r="B337" s="1" t="n">
        <v>46139</v>
      </c>
      <c r="C337" s="1" t="n">
        <v>46194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48223-2023</t>
        </is>
      </c>
      <c r="B338" s="1" t="n">
        <v>45205</v>
      </c>
      <c r="C338" s="1" t="n">
        <v>46194</v>
      </c>
      <c r="D338" t="inlineStr">
        <is>
          <t>KALMAR LÄN</t>
        </is>
      </c>
      <c r="E338" t="inlineStr">
        <is>
          <t>KALMAR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47417-2025</t>
        </is>
      </c>
      <c r="B339" s="1" t="n">
        <v>45930</v>
      </c>
      <c r="C339" s="1" t="n">
        <v>46194</v>
      </c>
      <c r="D339" t="inlineStr">
        <is>
          <t>KALMAR LÄN</t>
        </is>
      </c>
      <c r="E339" t="inlineStr">
        <is>
          <t>KALMAR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42697-2024</t>
        </is>
      </c>
      <c r="B340" s="1" t="n">
        <v>45566</v>
      </c>
      <c r="C340" s="1" t="n">
        <v>46194</v>
      </c>
      <c r="D340" t="inlineStr">
        <is>
          <t>KALMAR LÄN</t>
        </is>
      </c>
      <c r="E340" t="inlineStr">
        <is>
          <t>KALMAR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592-2025</t>
        </is>
      </c>
      <c r="B341" s="1" t="n">
        <v>45664</v>
      </c>
      <c r="C341" s="1" t="n">
        <v>46194</v>
      </c>
      <c r="D341" t="inlineStr">
        <is>
          <t>KALMAR LÄN</t>
        </is>
      </c>
      <c r="E341" t="inlineStr">
        <is>
          <t>KALMAR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9877-2024</t>
        </is>
      </c>
      <c r="B342" s="1" t="n">
        <v>45363</v>
      </c>
      <c r="C342" s="1" t="n">
        <v>46194</v>
      </c>
      <c r="D342" t="inlineStr">
        <is>
          <t>KALMAR LÄN</t>
        </is>
      </c>
      <c r="E342" t="inlineStr">
        <is>
          <t>KALMAR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22171-2025</t>
        </is>
      </c>
      <c r="B343" s="1" t="n">
        <v>45785</v>
      </c>
      <c r="C343" s="1" t="n">
        <v>46194</v>
      </c>
      <c r="D343" t="inlineStr">
        <is>
          <t>KALMAR LÄN</t>
        </is>
      </c>
      <c r="E343" t="inlineStr">
        <is>
          <t>KALMAR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459-2025</t>
        </is>
      </c>
      <c r="B344" s="1" t="n">
        <v>45664</v>
      </c>
      <c r="C344" s="1" t="n">
        <v>46194</v>
      </c>
      <c r="D344" t="inlineStr">
        <is>
          <t>KALMAR LÄN</t>
        </is>
      </c>
      <c r="E344" t="inlineStr">
        <is>
          <t>KALMAR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57139-2023</t>
        </is>
      </c>
      <c r="B345" s="1" t="n">
        <v>45239</v>
      </c>
      <c r="C345" s="1" t="n">
        <v>46194</v>
      </c>
      <c r="D345" t="inlineStr">
        <is>
          <t>KALMAR LÄN</t>
        </is>
      </c>
      <c r="E345" t="inlineStr">
        <is>
          <t>KALMAR</t>
        </is>
      </c>
      <c r="F345" t="inlineStr">
        <is>
          <t>Kyrkan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47875-2025</t>
        </is>
      </c>
      <c r="B346" s="1" t="n">
        <v>45932</v>
      </c>
      <c r="C346" s="1" t="n">
        <v>46194</v>
      </c>
      <c r="D346" t="inlineStr">
        <is>
          <t>KALMAR LÄN</t>
        </is>
      </c>
      <c r="E346" t="inlineStr">
        <is>
          <t>KALMAR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12389-2025</t>
        </is>
      </c>
      <c r="B347" s="1" t="n">
        <v>45730</v>
      </c>
      <c r="C347" s="1" t="n">
        <v>46194</v>
      </c>
      <c r="D347" t="inlineStr">
        <is>
          <t>KALMAR LÄN</t>
        </is>
      </c>
      <c r="E347" t="inlineStr">
        <is>
          <t>KALMAR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11183-2022</t>
        </is>
      </c>
      <c r="B348" s="1" t="n">
        <v>44629</v>
      </c>
      <c r="C348" s="1" t="n">
        <v>46194</v>
      </c>
      <c r="D348" t="inlineStr">
        <is>
          <t>KALMAR LÄN</t>
        </is>
      </c>
      <c r="E348" t="inlineStr">
        <is>
          <t>KALMAR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42259-2023</t>
        </is>
      </c>
      <c r="B349" s="1" t="n">
        <v>45180</v>
      </c>
      <c r="C349" s="1" t="n">
        <v>46194</v>
      </c>
      <c r="D349" t="inlineStr">
        <is>
          <t>KALMAR LÄN</t>
        </is>
      </c>
      <c r="E349" t="inlineStr">
        <is>
          <t>KALMAR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23565-2025</t>
        </is>
      </c>
      <c r="B350" s="1" t="n">
        <v>45792</v>
      </c>
      <c r="C350" s="1" t="n">
        <v>46194</v>
      </c>
      <c r="D350" t="inlineStr">
        <is>
          <t>KALMAR LÄN</t>
        </is>
      </c>
      <c r="E350" t="inlineStr">
        <is>
          <t>KALMAR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23187-2025</t>
        </is>
      </c>
      <c r="B351" s="1" t="n">
        <v>45791</v>
      </c>
      <c r="C351" s="1" t="n">
        <v>46194</v>
      </c>
      <c r="D351" t="inlineStr">
        <is>
          <t>KALMAR LÄN</t>
        </is>
      </c>
      <c r="E351" t="inlineStr">
        <is>
          <t>KALMAR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37300-2024</t>
        </is>
      </c>
      <c r="B352" s="1" t="n">
        <v>45540</v>
      </c>
      <c r="C352" s="1" t="n">
        <v>46194</v>
      </c>
      <c r="D352" t="inlineStr">
        <is>
          <t>KALMAR LÄN</t>
        </is>
      </c>
      <c r="E352" t="inlineStr">
        <is>
          <t>KALMAR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61925-2021</t>
        </is>
      </c>
      <c r="B353" s="1" t="n">
        <v>44502</v>
      </c>
      <c r="C353" s="1" t="n">
        <v>46194</v>
      </c>
      <c r="D353" t="inlineStr">
        <is>
          <t>KALMAR LÄN</t>
        </is>
      </c>
      <c r="E353" t="inlineStr">
        <is>
          <t>KALMAR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524-2022</t>
        </is>
      </c>
      <c r="B354" s="1" t="n">
        <v>44566</v>
      </c>
      <c r="C354" s="1" t="n">
        <v>46194</v>
      </c>
      <c r="D354" t="inlineStr">
        <is>
          <t>KALMAR LÄN</t>
        </is>
      </c>
      <c r="E354" t="inlineStr">
        <is>
          <t>KALMAR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49521-2025</t>
        </is>
      </c>
      <c r="B355" s="1" t="n">
        <v>45939</v>
      </c>
      <c r="C355" s="1" t="n">
        <v>46194</v>
      </c>
      <c r="D355" t="inlineStr">
        <is>
          <t>KALMAR LÄN</t>
        </is>
      </c>
      <c r="E355" t="inlineStr">
        <is>
          <t>KALMAR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54462-2023</t>
        </is>
      </c>
      <c r="B356" s="1" t="n">
        <v>45233</v>
      </c>
      <c r="C356" s="1" t="n">
        <v>46194</v>
      </c>
      <c r="D356" t="inlineStr">
        <is>
          <t>KALMAR LÄN</t>
        </is>
      </c>
      <c r="E356" t="inlineStr">
        <is>
          <t>KALMAR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45755-2022</t>
        </is>
      </c>
      <c r="B357" s="1" t="n">
        <v>44846</v>
      </c>
      <c r="C357" s="1" t="n">
        <v>46194</v>
      </c>
      <c r="D357" t="inlineStr">
        <is>
          <t>KALMAR LÄN</t>
        </is>
      </c>
      <c r="E357" t="inlineStr">
        <is>
          <t>KALMAR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1987-2023</t>
        </is>
      </c>
      <c r="B358" s="1" t="n">
        <v>44939</v>
      </c>
      <c r="C358" s="1" t="n">
        <v>46194</v>
      </c>
      <c r="D358" t="inlineStr">
        <is>
          <t>KALMAR LÄN</t>
        </is>
      </c>
      <c r="E358" t="inlineStr">
        <is>
          <t>KALMAR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54551-2022</t>
        </is>
      </c>
      <c r="B359" s="1" t="n">
        <v>44882</v>
      </c>
      <c r="C359" s="1" t="n">
        <v>46194</v>
      </c>
      <c r="D359" t="inlineStr">
        <is>
          <t>KALMAR LÄN</t>
        </is>
      </c>
      <c r="E359" t="inlineStr">
        <is>
          <t>KALMAR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44980-2021</t>
        </is>
      </c>
      <c r="B360" s="1" t="n">
        <v>44438</v>
      </c>
      <c r="C360" s="1" t="n">
        <v>46194</v>
      </c>
      <c r="D360" t="inlineStr">
        <is>
          <t>KALMAR LÄN</t>
        </is>
      </c>
      <c r="E360" t="inlineStr">
        <is>
          <t>KALMAR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51100-2025</t>
        </is>
      </c>
      <c r="B361" s="1" t="n">
        <v>45947</v>
      </c>
      <c r="C361" s="1" t="n">
        <v>46194</v>
      </c>
      <c r="D361" t="inlineStr">
        <is>
          <t>KALMAR LÄN</t>
        </is>
      </c>
      <c r="E361" t="inlineStr">
        <is>
          <t>KALMAR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26593-2023</t>
        </is>
      </c>
      <c r="B362" s="1" t="n">
        <v>45092</v>
      </c>
      <c r="C362" s="1" t="n">
        <v>46194</v>
      </c>
      <c r="D362" t="inlineStr">
        <is>
          <t>KALMAR LÄN</t>
        </is>
      </c>
      <c r="E362" t="inlineStr">
        <is>
          <t>KALMAR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51985-2025</t>
        </is>
      </c>
      <c r="B363" s="1" t="n">
        <v>45952</v>
      </c>
      <c r="C363" s="1" t="n">
        <v>46194</v>
      </c>
      <c r="D363" t="inlineStr">
        <is>
          <t>KALMAR LÄN</t>
        </is>
      </c>
      <c r="E363" t="inlineStr">
        <is>
          <t>KALMAR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10345-2025</t>
        </is>
      </c>
      <c r="B364" s="1" t="n">
        <v>45720</v>
      </c>
      <c r="C364" s="1" t="n">
        <v>46194</v>
      </c>
      <c r="D364" t="inlineStr">
        <is>
          <t>KALMAR LÄN</t>
        </is>
      </c>
      <c r="E364" t="inlineStr">
        <is>
          <t>KALMAR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60754-2022</t>
        </is>
      </c>
      <c r="B365" s="1" t="n">
        <v>44914</v>
      </c>
      <c r="C365" s="1" t="n">
        <v>46194</v>
      </c>
      <c r="D365" t="inlineStr">
        <is>
          <t>KALMAR LÄN</t>
        </is>
      </c>
      <c r="E365" t="inlineStr">
        <is>
          <t>KALMAR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28299-2023</t>
        </is>
      </c>
      <c r="B366" s="1" t="n">
        <v>45099</v>
      </c>
      <c r="C366" s="1" t="n">
        <v>46194</v>
      </c>
      <c r="D366" t="inlineStr">
        <is>
          <t>KALMAR LÄN</t>
        </is>
      </c>
      <c r="E366" t="inlineStr">
        <is>
          <t>KALMAR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14247-2026</t>
        </is>
      </c>
      <c r="B367" s="1" t="n">
        <v>46099</v>
      </c>
      <c r="C367" s="1" t="n">
        <v>46194</v>
      </c>
      <c r="D367" t="inlineStr">
        <is>
          <t>KALMAR LÄN</t>
        </is>
      </c>
      <c r="E367" t="inlineStr">
        <is>
          <t>KALMAR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26322-2025</t>
        </is>
      </c>
      <c r="B368" s="1" t="n">
        <v>45805</v>
      </c>
      <c r="C368" s="1" t="n">
        <v>46194</v>
      </c>
      <c r="D368" t="inlineStr">
        <is>
          <t>KALMAR LÄN</t>
        </is>
      </c>
      <c r="E368" t="inlineStr">
        <is>
          <t>KALMAR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28974-2023</t>
        </is>
      </c>
      <c r="B369" s="1" t="n">
        <v>45104</v>
      </c>
      <c r="C369" s="1" t="n">
        <v>46194</v>
      </c>
      <c r="D369" t="inlineStr">
        <is>
          <t>KALMAR LÄN</t>
        </is>
      </c>
      <c r="E369" t="inlineStr">
        <is>
          <t>KALMAR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28978-2023</t>
        </is>
      </c>
      <c r="B370" s="1" t="n">
        <v>45104</v>
      </c>
      <c r="C370" s="1" t="n">
        <v>46194</v>
      </c>
      <c r="D370" t="inlineStr">
        <is>
          <t>KALMAR LÄN</t>
        </is>
      </c>
      <c r="E370" t="inlineStr">
        <is>
          <t>KALMAR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28985-2023</t>
        </is>
      </c>
      <c r="B371" s="1" t="n">
        <v>45104</v>
      </c>
      <c r="C371" s="1" t="n">
        <v>46194</v>
      </c>
      <c r="D371" t="inlineStr">
        <is>
          <t>KALMAR LÄN</t>
        </is>
      </c>
      <c r="E371" t="inlineStr">
        <is>
          <t>KALMAR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62456-2022</t>
        </is>
      </c>
      <c r="B372" s="1" t="n">
        <v>44924</v>
      </c>
      <c r="C372" s="1" t="n">
        <v>46194</v>
      </c>
      <c r="D372" t="inlineStr">
        <is>
          <t>KALMAR LÄN</t>
        </is>
      </c>
      <c r="E372" t="inlineStr">
        <is>
          <t>KALMAR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31806-2023</t>
        </is>
      </c>
      <c r="B373" s="1" t="n">
        <v>45118</v>
      </c>
      <c r="C373" s="1" t="n">
        <v>46194</v>
      </c>
      <c r="D373" t="inlineStr">
        <is>
          <t>KALMAR LÄN</t>
        </is>
      </c>
      <c r="E373" t="inlineStr">
        <is>
          <t>KALMAR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27250-2025</t>
        </is>
      </c>
      <c r="B374" s="1" t="n">
        <v>45812</v>
      </c>
      <c r="C374" s="1" t="n">
        <v>46194</v>
      </c>
      <c r="D374" t="inlineStr">
        <is>
          <t>KALMAR LÄN</t>
        </is>
      </c>
      <c r="E374" t="inlineStr">
        <is>
          <t>KALMAR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25214-2023</t>
        </is>
      </c>
      <c r="B375" s="1" t="n">
        <v>45086</v>
      </c>
      <c r="C375" s="1" t="n">
        <v>46194</v>
      </c>
      <c r="D375" t="inlineStr">
        <is>
          <t>KALMAR LÄN</t>
        </is>
      </c>
      <c r="E375" t="inlineStr">
        <is>
          <t>KALMAR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47387-2023</t>
        </is>
      </c>
      <c r="B376" s="1" t="n">
        <v>45202</v>
      </c>
      <c r="C376" s="1" t="n">
        <v>46194</v>
      </c>
      <c r="D376" t="inlineStr">
        <is>
          <t>KALMAR LÄN</t>
        </is>
      </c>
      <c r="E376" t="inlineStr">
        <is>
          <t>KALMAR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13415-2024</t>
        </is>
      </c>
      <c r="B377" s="1" t="n">
        <v>45387</v>
      </c>
      <c r="C377" s="1" t="n">
        <v>46194</v>
      </c>
      <c r="D377" t="inlineStr">
        <is>
          <t>KALMAR LÄN</t>
        </is>
      </c>
      <c r="E377" t="inlineStr">
        <is>
          <t>KALMAR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13419-2024</t>
        </is>
      </c>
      <c r="B378" s="1" t="n">
        <v>45387</v>
      </c>
      <c r="C378" s="1" t="n">
        <v>46194</v>
      </c>
      <c r="D378" t="inlineStr">
        <is>
          <t>KALMAR LÄN</t>
        </is>
      </c>
      <c r="E378" t="inlineStr">
        <is>
          <t>KALMAR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28292-2023</t>
        </is>
      </c>
      <c r="B379" s="1" t="n">
        <v>45099</v>
      </c>
      <c r="C379" s="1" t="n">
        <v>46194</v>
      </c>
      <c r="D379" t="inlineStr">
        <is>
          <t>KALMAR LÄN</t>
        </is>
      </c>
      <c r="E379" t="inlineStr">
        <is>
          <t>KALMAR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56010-2021</t>
        </is>
      </c>
      <c r="B380" s="1" t="n">
        <v>44477</v>
      </c>
      <c r="C380" s="1" t="n">
        <v>46194</v>
      </c>
      <c r="D380" t="inlineStr">
        <is>
          <t>KALMAR LÄN</t>
        </is>
      </c>
      <c r="E380" t="inlineStr">
        <is>
          <t>KALMAR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28759-2025</t>
        </is>
      </c>
      <c r="B381" s="1" t="n">
        <v>45820</v>
      </c>
      <c r="C381" s="1" t="n">
        <v>46194</v>
      </c>
      <c r="D381" t="inlineStr">
        <is>
          <t>KALMAR LÄN</t>
        </is>
      </c>
      <c r="E381" t="inlineStr">
        <is>
          <t>KALMAR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29226-2025</t>
        </is>
      </c>
      <c r="B382" s="1" t="n">
        <v>45824</v>
      </c>
      <c r="C382" s="1" t="n">
        <v>46194</v>
      </c>
      <c r="D382" t="inlineStr">
        <is>
          <t>KALMAR LÄN</t>
        </is>
      </c>
      <c r="E382" t="inlineStr">
        <is>
          <t>KALMAR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72194-2021</t>
        </is>
      </c>
      <c r="B383" s="1" t="n">
        <v>44544</v>
      </c>
      <c r="C383" s="1" t="n">
        <v>46194</v>
      </c>
      <c r="D383" t="inlineStr">
        <is>
          <t>KALMAR LÄN</t>
        </is>
      </c>
      <c r="E383" t="inlineStr">
        <is>
          <t>KALMAR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37973-2024</t>
        </is>
      </c>
      <c r="B384" s="1" t="n">
        <v>45544</v>
      </c>
      <c r="C384" s="1" t="n">
        <v>46194</v>
      </c>
      <c r="D384" t="inlineStr">
        <is>
          <t>KALMAR LÄN</t>
        </is>
      </c>
      <c r="E384" t="inlineStr">
        <is>
          <t>KALMAR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56994-2025</t>
        </is>
      </c>
      <c r="B385" s="1" t="n">
        <v>45978</v>
      </c>
      <c r="C385" s="1" t="n">
        <v>46194</v>
      </c>
      <c r="D385" t="inlineStr">
        <is>
          <t>KALMAR LÄN</t>
        </is>
      </c>
      <c r="E385" t="inlineStr">
        <is>
          <t>KALMAR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28932-2023</t>
        </is>
      </c>
      <c r="B386" s="1" t="n">
        <v>45104</v>
      </c>
      <c r="C386" s="1" t="n">
        <v>46194</v>
      </c>
      <c r="D386" t="inlineStr">
        <is>
          <t>KALMAR LÄN</t>
        </is>
      </c>
      <c r="E386" t="inlineStr">
        <is>
          <t>KALMAR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10930-2023</t>
        </is>
      </c>
      <c r="B387" s="1" t="n">
        <v>44991</v>
      </c>
      <c r="C387" s="1" t="n">
        <v>46194</v>
      </c>
      <c r="D387" t="inlineStr">
        <is>
          <t>KALMAR LÄN</t>
        </is>
      </c>
      <c r="E387" t="inlineStr">
        <is>
          <t>KALMAR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47399-2025</t>
        </is>
      </c>
      <c r="B388" s="1" t="n">
        <v>45930</v>
      </c>
      <c r="C388" s="1" t="n">
        <v>46194</v>
      </c>
      <c r="D388" t="inlineStr">
        <is>
          <t>KALMAR LÄN</t>
        </is>
      </c>
      <c r="E388" t="inlineStr">
        <is>
          <t>KALMAR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60638-2023</t>
        </is>
      </c>
      <c r="B389" s="1" t="n">
        <v>45260</v>
      </c>
      <c r="C389" s="1" t="n">
        <v>46194</v>
      </c>
      <c r="D389" t="inlineStr">
        <is>
          <t>KALMAR LÄN</t>
        </is>
      </c>
      <c r="E389" t="inlineStr">
        <is>
          <t>KALMAR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27166-2026</t>
        </is>
      </c>
      <c r="B390" s="1" t="n">
        <v>46188</v>
      </c>
      <c r="C390" s="1" t="n">
        <v>46194</v>
      </c>
      <c r="D390" t="inlineStr">
        <is>
          <t>KALMAR LÄN</t>
        </is>
      </c>
      <c r="E390" t="inlineStr">
        <is>
          <t>KALMAR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26815-2026</t>
        </is>
      </c>
      <c r="B391" s="1" t="n">
        <v>46185</v>
      </c>
      <c r="C391" s="1" t="n">
        <v>46194</v>
      </c>
      <c r="D391" t="inlineStr">
        <is>
          <t>KALMAR LÄN</t>
        </is>
      </c>
      <c r="E391" t="inlineStr">
        <is>
          <t>KALMAR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8845-2025</t>
        </is>
      </c>
      <c r="B392" s="1" t="n">
        <v>45713</v>
      </c>
      <c r="C392" s="1" t="n">
        <v>46194</v>
      </c>
      <c r="D392" t="inlineStr">
        <is>
          <t>KALMAR LÄN</t>
        </is>
      </c>
      <c r="E392" t="inlineStr">
        <is>
          <t>KALMAR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23486-2023</t>
        </is>
      </c>
      <c r="B393" s="1" t="n">
        <v>45076</v>
      </c>
      <c r="C393" s="1" t="n">
        <v>46194</v>
      </c>
      <c r="D393" t="inlineStr">
        <is>
          <t>KALMAR LÄN</t>
        </is>
      </c>
      <c r="E393" t="inlineStr">
        <is>
          <t>KALMAR</t>
        </is>
      </c>
      <c r="F393" t="inlineStr">
        <is>
          <t>Kommuner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15179-2024</t>
        </is>
      </c>
      <c r="B394" s="1" t="n">
        <v>45400</v>
      </c>
      <c r="C394" s="1" t="n">
        <v>46194</v>
      </c>
      <c r="D394" t="inlineStr">
        <is>
          <t>KALMAR LÄN</t>
        </is>
      </c>
      <c r="E394" t="inlineStr">
        <is>
          <t>KALMAR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33816-2025</t>
        </is>
      </c>
      <c r="B395" s="1" t="n">
        <v>45842</v>
      </c>
      <c r="C395" s="1" t="n">
        <v>46194</v>
      </c>
      <c r="D395" t="inlineStr">
        <is>
          <t>KALMAR LÄN</t>
        </is>
      </c>
      <c r="E395" t="inlineStr">
        <is>
          <t>KALMAR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33780-2025</t>
        </is>
      </c>
      <c r="B396" s="1" t="n">
        <v>45842</v>
      </c>
      <c r="C396" s="1" t="n">
        <v>46194</v>
      </c>
      <c r="D396" t="inlineStr">
        <is>
          <t>KALMAR LÄN</t>
        </is>
      </c>
      <c r="E396" t="inlineStr">
        <is>
          <t>KALMAR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30140-2023</t>
        </is>
      </c>
      <c r="B397" s="1" t="n">
        <v>45110</v>
      </c>
      <c r="C397" s="1" t="n">
        <v>46194</v>
      </c>
      <c r="D397" t="inlineStr">
        <is>
          <t>KALMAR LÄN</t>
        </is>
      </c>
      <c r="E397" t="inlineStr">
        <is>
          <t>KALMAR</t>
        </is>
      </c>
      <c r="F397" t="inlineStr">
        <is>
          <t>Sveaskog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5949-2024</t>
        </is>
      </c>
      <c r="B398" s="1" t="n">
        <v>45335</v>
      </c>
      <c r="C398" s="1" t="n">
        <v>46194</v>
      </c>
      <c r="D398" t="inlineStr">
        <is>
          <t>KALMAR LÄN</t>
        </is>
      </c>
      <c r="E398" t="inlineStr">
        <is>
          <t>KALMAR</t>
        </is>
      </c>
      <c r="F398" t="inlineStr">
        <is>
          <t>Kyrkan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71843-2021</t>
        </is>
      </c>
      <c r="B399" s="1" t="n">
        <v>44543</v>
      </c>
      <c r="C399" s="1" t="n">
        <v>46194</v>
      </c>
      <c r="D399" t="inlineStr">
        <is>
          <t>KALMAR LÄN</t>
        </is>
      </c>
      <c r="E399" t="inlineStr">
        <is>
          <t>KALMAR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54748-2024</t>
        </is>
      </c>
      <c r="B400" s="1" t="n">
        <v>45618</v>
      </c>
      <c r="C400" s="1" t="n">
        <v>46194</v>
      </c>
      <c r="D400" t="inlineStr">
        <is>
          <t>KALMAR LÄN</t>
        </is>
      </c>
      <c r="E400" t="inlineStr">
        <is>
          <t>KALMAR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41068-2023</t>
        </is>
      </c>
      <c r="B401" s="1" t="n">
        <v>45173</v>
      </c>
      <c r="C401" s="1" t="n">
        <v>46194</v>
      </c>
      <c r="D401" t="inlineStr">
        <is>
          <t>KALMAR LÄN</t>
        </is>
      </c>
      <c r="E401" t="inlineStr">
        <is>
          <t>KALMAR</t>
        </is>
      </c>
      <c r="G401" t="n">
        <v>12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36126-2024</t>
        </is>
      </c>
      <c r="B402" s="1" t="n">
        <v>45534</v>
      </c>
      <c r="C402" s="1" t="n">
        <v>46194</v>
      </c>
      <c r="D402" t="inlineStr">
        <is>
          <t>KALMAR LÄN</t>
        </is>
      </c>
      <c r="E402" t="inlineStr">
        <is>
          <t>KALMAR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59868-2025</t>
        </is>
      </c>
      <c r="B403" s="1" t="n">
        <v>45992</v>
      </c>
      <c r="C403" s="1" t="n">
        <v>46194</v>
      </c>
      <c r="D403" t="inlineStr">
        <is>
          <t>KALMAR LÄN</t>
        </is>
      </c>
      <c r="E403" t="inlineStr">
        <is>
          <t>KALMAR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35799-2025</t>
        </is>
      </c>
      <c r="B404" s="1" t="n">
        <v>45861</v>
      </c>
      <c r="C404" s="1" t="n">
        <v>46194</v>
      </c>
      <c r="D404" t="inlineStr">
        <is>
          <t>KALMAR LÄN</t>
        </is>
      </c>
      <c r="E404" t="inlineStr">
        <is>
          <t>KALMAR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30860-2025</t>
        </is>
      </c>
      <c r="B405" s="1" t="n">
        <v>45831</v>
      </c>
      <c r="C405" s="1" t="n">
        <v>46194</v>
      </c>
      <c r="D405" t="inlineStr">
        <is>
          <t>KALMAR LÄN</t>
        </is>
      </c>
      <c r="E405" t="inlineStr">
        <is>
          <t>KALMAR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37312-2024</t>
        </is>
      </c>
      <c r="B406" s="1" t="n">
        <v>45540</v>
      </c>
      <c r="C406" s="1" t="n">
        <v>46194</v>
      </c>
      <c r="D406" t="inlineStr">
        <is>
          <t>KALMAR LÄN</t>
        </is>
      </c>
      <c r="E406" t="inlineStr">
        <is>
          <t>KALMAR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21278-2025</t>
        </is>
      </c>
      <c r="B407" s="1" t="n">
        <v>45779</v>
      </c>
      <c r="C407" s="1" t="n">
        <v>46194</v>
      </c>
      <c r="D407" t="inlineStr">
        <is>
          <t>KALMAR LÄN</t>
        </is>
      </c>
      <c r="E407" t="inlineStr">
        <is>
          <t>KALMAR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19042-2025</t>
        </is>
      </c>
      <c r="B408" s="1" t="n">
        <v>45764</v>
      </c>
      <c r="C408" s="1" t="n">
        <v>46194</v>
      </c>
      <c r="D408" t="inlineStr">
        <is>
          <t>KALMAR LÄN</t>
        </is>
      </c>
      <c r="E408" t="inlineStr">
        <is>
          <t>KALMAR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39453-2022</t>
        </is>
      </c>
      <c r="B409" s="1" t="n">
        <v>44818</v>
      </c>
      <c r="C409" s="1" t="n">
        <v>46194</v>
      </c>
      <c r="D409" t="inlineStr">
        <is>
          <t>KALMAR LÄN</t>
        </is>
      </c>
      <c r="E409" t="inlineStr">
        <is>
          <t>KALMAR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45896-2023</t>
        </is>
      </c>
      <c r="B410" s="1" t="n">
        <v>45195</v>
      </c>
      <c r="C410" s="1" t="n">
        <v>46194</v>
      </c>
      <c r="D410" t="inlineStr">
        <is>
          <t>KALMAR LÄN</t>
        </is>
      </c>
      <c r="E410" t="inlineStr">
        <is>
          <t>KALMAR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31371-2023</t>
        </is>
      </c>
      <c r="B411" s="1" t="n">
        <v>45114</v>
      </c>
      <c r="C411" s="1" t="n">
        <v>46194</v>
      </c>
      <c r="D411" t="inlineStr">
        <is>
          <t>KALMAR LÄN</t>
        </is>
      </c>
      <c r="E411" t="inlineStr">
        <is>
          <t>KALMAR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48242-2023</t>
        </is>
      </c>
      <c r="B412" s="1" t="n">
        <v>45205</v>
      </c>
      <c r="C412" s="1" t="n">
        <v>46194</v>
      </c>
      <c r="D412" t="inlineStr">
        <is>
          <t>KALMAR LÄN</t>
        </is>
      </c>
      <c r="E412" t="inlineStr">
        <is>
          <t>KALMAR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35515-2024</t>
        </is>
      </c>
      <c r="B413" s="1" t="n">
        <v>45531</v>
      </c>
      <c r="C413" s="1" t="n">
        <v>46194</v>
      </c>
      <c r="D413" t="inlineStr">
        <is>
          <t>KALMAR LÄN</t>
        </is>
      </c>
      <c r="E413" t="inlineStr">
        <is>
          <t>KALMAR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61957-2025</t>
        </is>
      </c>
      <c r="B414" s="1" t="n">
        <v>46003</v>
      </c>
      <c r="C414" s="1" t="n">
        <v>46194</v>
      </c>
      <c r="D414" t="inlineStr">
        <is>
          <t>KALMAR LÄN</t>
        </is>
      </c>
      <c r="E414" t="inlineStr">
        <is>
          <t>KALMAR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25699-2023</t>
        </is>
      </c>
      <c r="B415" s="1" t="n">
        <v>45090</v>
      </c>
      <c r="C415" s="1" t="n">
        <v>46194</v>
      </c>
      <c r="D415" t="inlineStr">
        <is>
          <t>KALMAR LÄN</t>
        </is>
      </c>
      <c r="E415" t="inlineStr">
        <is>
          <t>KALMAR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25700-2023</t>
        </is>
      </c>
      <c r="B416" s="1" t="n">
        <v>45090</v>
      </c>
      <c r="C416" s="1" t="n">
        <v>46194</v>
      </c>
      <c r="D416" t="inlineStr">
        <is>
          <t>KALMAR LÄN</t>
        </is>
      </c>
      <c r="E416" t="inlineStr">
        <is>
          <t>KALMAR</t>
        </is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54747-2024</t>
        </is>
      </c>
      <c r="B417" s="1" t="n">
        <v>45618</v>
      </c>
      <c r="C417" s="1" t="n">
        <v>46194</v>
      </c>
      <c r="D417" t="inlineStr">
        <is>
          <t>KALMAR LÄN</t>
        </is>
      </c>
      <c r="E417" t="inlineStr">
        <is>
          <t>KALMAR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44547-2023</t>
        </is>
      </c>
      <c r="B418" s="1" t="n">
        <v>45189</v>
      </c>
      <c r="C418" s="1" t="n">
        <v>46194</v>
      </c>
      <c r="D418" t="inlineStr">
        <is>
          <t>KALMAR LÄN</t>
        </is>
      </c>
      <c r="E418" t="inlineStr">
        <is>
          <t>KALMAR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36883-2025</t>
        </is>
      </c>
      <c r="B419" s="1" t="n">
        <v>45874</v>
      </c>
      <c r="C419" s="1" t="n">
        <v>46194</v>
      </c>
      <c r="D419" t="inlineStr">
        <is>
          <t>KALMAR LÄN</t>
        </is>
      </c>
      <c r="E419" t="inlineStr">
        <is>
          <t>KALMAR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13416-2022</t>
        </is>
      </c>
      <c r="B420" s="1" t="n">
        <v>44645</v>
      </c>
      <c r="C420" s="1" t="n">
        <v>46194</v>
      </c>
      <c r="D420" t="inlineStr">
        <is>
          <t>KALMAR LÄN</t>
        </is>
      </c>
      <c r="E420" t="inlineStr">
        <is>
          <t>KALMAR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62731-2025</t>
        </is>
      </c>
      <c r="B421" s="1" t="n">
        <v>46008</v>
      </c>
      <c r="C421" s="1" t="n">
        <v>46194</v>
      </c>
      <c r="D421" t="inlineStr">
        <is>
          <t>KALMAR LÄN</t>
        </is>
      </c>
      <c r="E421" t="inlineStr">
        <is>
          <t>KALMAR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62732-2025</t>
        </is>
      </c>
      <c r="B422" s="1" t="n">
        <v>46008</v>
      </c>
      <c r="C422" s="1" t="n">
        <v>46194</v>
      </c>
      <c r="D422" t="inlineStr">
        <is>
          <t>KALMAR LÄN</t>
        </is>
      </c>
      <c r="E422" t="inlineStr">
        <is>
          <t>KALMAR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63313-2025</t>
        </is>
      </c>
      <c r="B423" s="1" t="n">
        <v>46010</v>
      </c>
      <c r="C423" s="1" t="n">
        <v>46194</v>
      </c>
      <c r="D423" t="inlineStr">
        <is>
          <t>KALMAR LÄN</t>
        </is>
      </c>
      <c r="E423" t="inlineStr">
        <is>
          <t>KALMAR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4448-2024</t>
        </is>
      </c>
      <c r="B424" s="1" t="n">
        <v>45327</v>
      </c>
      <c r="C424" s="1" t="n">
        <v>46194</v>
      </c>
      <c r="D424" t="inlineStr">
        <is>
          <t>KALMAR LÄN</t>
        </is>
      </c>
      <c r="E424" t="inlineStr">
        <is>
          <t>KALMAR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7324-2024</t>
        </is>
      </c>
      <c r="B425" s="1" t="n">
        <v>45345</v>
      </c>
      <c r="C425" s="1" t="n">
        <v>46194</v>
      </c>
      <c r="D425" t="inlineStr">
        <is>
          <t>KALMAR LÄN</t>
        </is>
      </c>
      <c r="E425" t="inlineStr">
        <is>
          <t>KALMAR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63498-2025</t>
        </is>
      </c>
      <c r="B426" s="1" t="n">
        <v>46013</v>
      </c>
      <c r="C426" s="1" t="n">
        <v>46194</v>
      </c>
      <c r="D426" t="inlineStr">
        <is>
          <t>KALMAR LÄN</t>
        </is>
      </c>
      <c r="E426" t="inlineStr">
        <is>
          <t>KALMAR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22055-2025</t>
        </is>
      </c>
      <c r="B427" s="1" t="n">
        <v>45785</v>
      </c>
      <c r="C427" s="1" t="n">
        <v>46194</v>
      </c>
      <c r="D427" t="inlineStr">
        <is>
          <t>KALMAR LÄN</t>
        </is>
      </c>
      <c r="E427" t="inlineStr">
        <is>
          <t>KALMAR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16149-2023</t>
        </is>
      </c>
      <c r="B428" s="1" t="n">
        <v>45027</v>
      </c>
      <c r="C428" s="1" t="n">
        <v>46194</v>
      </c>
      <c r="D428" t="inlineStr">
        <is>
          <t>KALMAR LÄN</t>
        </is>
      </c>
      <c r="E428" t="inlineStr">
        <is>
          <t>KALMAR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39843-2022</t>
        </is>
      </c>
      <c r="B429" s="1" t="n">
        <v>44819</v>
      </c>
      <c r="C429" s="1" t="n">
        <v>46194</v>
      </c>
      <c r="D429" t="inlineStr">
        <is>
          <t>KALMAR LÄN</t>
        </is>
      </c>
      <c r="E429" t="inlineStr">
        <is>
          <t>KALMAR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22303-2023</t>
        </is>
      </c>
      <c r="B430" s="1" t="n">
        <v>45070</v>
      </c>
      <c r="C430" s="1" t="n">
        <v>46194</v>
      </c>
      <c r="D430" t="inlineStr">
        <is>
          <t>KALMAR LÄN</t>
        </is>
      </c>
      <c r="E430" t="inlineStr">
        <is>
          <t>KALMAR</t>
        </is>
      </c>
      <c r="F430" t="inlineStr">
        <is>
          <t>Sveaskog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43038-2023</t>
        </is>
      </c>
      <c r="B431" s="1" t="n">
        <v>45182</v>
      </c>
      <c r="C431" s="1" t="n">
        <v>46194</v>
      </c>
      <c r="D431" t="inlineStr">
        <is>
          <t>KALMAR LÄN</t>
        </is>
      </c>
      <c r="E431" t="inlineStr">
        <is>
          <t>KALMAR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14726-2022</t>
        </is>
      </c>
      <c r="B432" s="1" t="n">
        <v>44656</v>
      </c>
      <c r="C432" s="1" t="n">
        <v>46194</v>
      </c>
      <c r="D432" t="inlineStr">
        <is>
          <t>KALMAR LÄN</t>
        </is>
      </c>
      <c r="E432" t="inlineStr">
        <is>
          <t>KALMAR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15658-2024</t>
        </is>
      </c>
      <c r="B433" s="1" t="n">
        <v>45402</v>
      </c>
      <c r="C433" s="1" t="n">
        <v>46194</v>
      </c>
      <c r="D433" t="inlineStr">
        <is>
          <t>KALMAR LÄN</t>
        </is>
      </c>
      <c r="E433" t="inlineStr">
        <is>
          <t>KALMAR</t>
        </is>
      </c>
      <c r="F433" t="inlineStr">
        <is>
          <t>Kyrkan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16119-2024</t>
        </is>
      </c>
      <c r="B434" s="1" t="n">
        <v>45406</v>
      </c>
      <c r="C434" s="1" t="n">
        <v>46194</v>
      </c>
      <c r="D434" t="inlineStr">
        <is>
          <t>KALMAR LÄN</t>
        </is>
      </c>
      <c r="E434" t="inlineStr">
        <is>
          <t>KALMAR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217-2026</t>
        </is>
      </c>
      <c r="B435" s="1" t="n">
        <v>46026</v>
      </c>
      <c r="C435" s="1" t="n">
        <v>46194</v>
      </c>
      <c r="D435" t="inlineStr">
        <is>
          <t>KALMAR LÄN</t>
        </is>
      </c>
      <c r="E435" t="inlineStr">
        <is>
          <t>KALMAR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42953-2023</t>
        </is>
      </c>
      <c r="B436" s="1" t="n">
        <v>45182</v>
      </c>
      <c r="C436" s="1" t="n">
        <v>46194</v>
      </c>
      <c r="D436" t="inlineStr">
        <is>
          <t>KALMAR LÄN</t>
        </is>
      </c>
      <c r="E436" t="inlineStr">
        <is>
          <t>KALMAR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9869-2024</t>
        </is>
      </c>
      <c r="B437" s="1" t="n">
        <v>45363</v>
      </c>
      <c r="C437" s="1" t="n">
        <v>46194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57417-2024</t>
        </is>
      </c>
      <c r="B438" s="1" t="n">
        <v>45629</v>
      </c>
      <c r="C438" s="1" t="n">
        <v>46194</v>
      </c>
      <c r="D438" t="inlineStr">
        <is>
          <t>KALMAR LÄN</t>
        </is>
      </c>
      <c r="E438" t="inlineStr">
        <is>
          <t>KALMAR</t>
        </is>
      </c>
      <c r="G438" t="n">
        <v>13.5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36016-2023</t>
        </is>
      </c>
      <c r="B439" s="1" t="n">
        <v>45149</v>
      </c>
      <c r="C439" s="1" t="n">
        <v>46194</v>
      </c>
      <c r="D439" t="inlineStr">
        <is>
          <t>KALMAR LÄN</t>
        </is>
      </c>
      <c r="E439" t="inlineStr">
        <is>
          <t>KALMAR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36018-2023</t>
        </is>
      </c>
      <c r="B440" s="1" t="n">
        <v>45149</v>
      </c>
      <c r="C440" s="1" t="n">
        <v>46194</v>
      </c>
      <c r="D440" t="inlineStr">
        <is>
          <t>KALMAR LÄN</t>
        </is>
      </c>
      <c r="E440" t="inlineStr">
        <is>
          <t>KALMAR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7345-2025</t>
        </is>
      </c>
      <c r="B441" s="1" t="n">
        <v>45703</v>
      </c>
      <c r="C441" s="1" t="n">
        <v>46194</v>
      </c>
      <c r="D441" t="inlineStr">
        <is>
          <t>KALMAR LÄN</t>
        </is>
      </c>
      <c r="E441" t="inlineStr">
        <is>
          <t>KALMAR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32955-2023</t>
        </is>
      </c>
      <c r="B442" s="1" t="n">
        <v>45125</v>
      </c>
      <c r="C442" s="1" t="n">
        <v>46194</v>
      </c>
      <c r="D442" t="inlineStr">
        <is>
          <t>KALMAR LÄN</t>
        </is>
      </c>
      <c r="E442" t="inlineStr">
        <is>
          <t>KALMAR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2185-2026</t>
        </is>
      </c>
      <c r="B443" s="1" t="n">
        <v>46036</v>
      </c>
      <c r="C443" s="1" t="n">
        <v>46194</v>
      </c>
      <c r="D443" t="inlineStr">
        <is>
          <t>KALMAR LÄN</t>
        </is>
      </c>
      <c r="E443" t="inlineStr">
        <is>
          <t>KALMAR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36846-2023</t>
        </is>
      </c>
      <c r="B444" s="1" t="n">
        <v>45154</v>
      </c>
      <c r="C444" s="1" t="n">
        <v>46194</v>
      </c>
      <c r="D444" t="inlineStr">
        <is>
          <t>KALMAR LÄN</t>
        </is>
      </c>
      <c r="E444" t="inlineStr">
        <is>
          <t>KALMAR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44765-2024</t>
        </is>
      </c>
      <c r="B445" s="1" t="n">
        <v>45574</v>
      </c>
      <c r="C445" s="1" t="n">
        <v>46194</v>
      </c>
      <c r="D445" t="inlineStr">
        <is>
          <t>KALMAR LÄN</t>
        </is>
      </c>
      <c r="E445" t="inlineStr">
        <is>
          <t>KALMAR</t>
        </is>
      </c>
      <c r="F445" t="inlineStr">
        <is>
          <t>Kommuner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54450-2023</t>
        </is>
      </c>
      <c r="B446" s="1" t="n">
        <v>45233</v>
      </c>
      <c r="C446" s="1" t="n">
        <v>46194</v>
      </c>
      <c r="D446" t="inlineStr">
        <is>
          <t>KALMAR LÄN</t>
        </is>
      </c>
      <c r="E446" t="inlineStr">
        <is>
          <t>KALMAR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54468-2023</t>
        </is>
      </c>
      <c r="B447" s="1" t="n">
        <v>45233</v>
      </c>
      <c r="C447" s="1" t="n">
        <v>46194</v>
      </c>
      <c r="D447" t="inlineStr">
        <is>
          <t>KALMAR LÄN</t>
        </is>
      </c>
      <c r="E447" t="inlineStr">
        <is>
          <t>KALMAR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46778-2023</t>
        </is>
      </c>
      <c r="B448" s="1" t="n">
        <v>45198</v>
      </c>
      <c r="C448" s="1" t="n">
        <v>46194</v>
      </c>
      <c r="D448" t="inlineStr">
        <is>
          <t>KALMAR LÄN</t>
        </is>
      </c>
      <c r="E448" t="inlineStr">
        <is>
          <t>KALMAR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44549-2023</t>
        </is>
      </c>
      <c r="B449" s="1" t="n">
        <v>45189</v>
      </c>
      <c r="C449" s="1" t="n">
        <v>46194</v>
      </c>
      <c r="D449" t="inlineStr">
        <is>
          <t>KALMAR LÄN</t>
        </is>
      </c>
      <c r="E449" t="inlineStr">
        <is>
          <t>KALMAR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4635-2026</t>
        </is>
      </c>
      <c r="B450" s="1" t="n">
        <v>46048</v>
      </c>
      <c r="C450" s="1" t="n">
        <v>46194</v>
      </c>
      <c r="D450" t="inlineStr">
        <is>
          <t>KALMAR LÄN</t>
        </is>
      </c>
      <c r="E450" t="inlineStr">
        <is>
          <t>KALMAR</t>
        </is>
      </c>
      <c r="G450" t="n">
        <v>9.1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4241-2025</t>
        </is>
      </c>
      <c r="B451" s="1" t="n">
        <v>45685</v>
      </c>
      <c r="C451" s="1" t="n">
        <v>46194</v>
      </c>
      <c r="D451" t="inlineStr">
        <is>
          <t>KALMAR LÄN</t>
        </is>
      </c>
      <c r="E451" t="inlineStr">
        <is>
          <t>KALMAR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40180-2023</t>
        </is>
      </c>
      <c r="B452" s="1" t="n">
        <v>45169</v>
      </c>
      <c r="C452" s="1" t="n">
        <v>46194</v>
      </c>
      <c r="D452" t="inlineStr">
        <is>
          <t>KALMAR LÄN</t>
        </is>
      </c>
      <c r="E452" t="inlineStr">
        <is>
          <t>KALMAR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49324-2022</t>
        </is>
      </c>
      <c r="B453" s="1" t="n">
        <v>44861</v>
      </c>
      <c r="C453" s="1" t="n">
        <v>46194</v>
      </c>
      <c r="D453" t="inlineStr">
        <is>
          <t>KALMAR LÄN</t>
        </is>
      </c>
      <c r="E453" t="inlineStr">
        <is>
          <t>KALMAR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32190-2023</t>
        </is>
      </c>
      <c r="B454" s="1" t="n">
        <v>45119</v>
      </c>
      <c r="C454" s="1" t="n">
        <v>46194</v>
      </c>
      <c r="D454" t="inlineStr">
        <is>
          <t>KALMAR LÄN</t>
        </is>
      </c>
      <c r="E454" t="inlineStr">
        <is>
          <t>KALMAR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36560-2023</t>
        </is>
      </c>
      <c r="B455" s="1" t="n">
        <v>45153</v>
      </c>
      <c r="C455" s="1" t="n">
        <v>46194</v>
      </c>
      <c r="D455" t="inlineStr">
        <is>
          <t>KALMAR LÄN</t>
        </is>
      </c>
      <c r="E455" t="inlineStr">
        <is>
          <t>KALMAR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5248-2026</t>
        </is>
      </c>
      <c r="B456" s="1" t="n">
        <v>46049</v>
      </c>
      <c r="C456" s="1" t="n">
        <v>46194</v>
      </c>
      <c r="D456" t="inlineStr">
        <is>
          <t>KALMAR LÄN</t>
        </is>
      </c>
      <c r="E456" t="inlineStr">
        <is>
          <t>KALMAR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54480-2023</t>
        </is>
      </c>
      <c r="B457" s="1" t="n">
        <v>45233</v>
      </c>
      <c r="C457" s="1" t="n">
        <v>46194</v>
      </c>
      <c r="D457" t="inlineStr">
        <is>
          <t>KALMAR LÄN</t>
        </is>
      </c>
      <c r="E457" t="inlineStr">
        <is>
          <t>KALMAR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41071-2023</t>
        </is>
      </c>
      <c r="B458" s="1" t="n">
        <v>45173</v>
      </c>
      <c r="C458" s="1" t="n">
        <v>46194</v>
      </c>
      <c r="D458" t="inlineStr">
        <is>
          <t>KALMAR LÄN</t>
        </is>
      </c>
      <c r="E458" t="inlineStr">
        <is>
          <t>KALMAR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41080-2023</t>
        </is>
      </c>
      <c r="B459" s="1" t="n">
        <v>45173</v>
      </c>
      <c r="C459" s="1" t="n">
        <v>46194</v>
      </c>
      <c r="D459" t="inlineStr">
        <is>
          <t>KALMAR LÄN</t>
        </is>
      </c>
      <c r="E459" t="inlineStr">
        <is>
          <t>KALMAR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57617-2023</t>
        </is>
      </c>
      <c r="B460" s="1" t="n">
        <v>45246</v>
      </c>
      <c r="C460" s="1" t="n">
        <v>46194</v>
      </c>
      <c r="D460" t="inlineStr">
        <is>
          <t>KALMAR LÄN</t>
        </is>
      </c>
      <c r="E460" t="inlineStr">
        <is>
          <t>KALMAR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32500-2022</t>
        </is>
      </c>
      <c r="B461" s="1" t="n">
        <v>44782</v>
      </c>
      <c r="C461" s="1" t="n">
        <v>46194</v>
      </c>
      <c r="D461" t="inlineStr">
        <is>
          <t>KALMAR LÄN</t>
        </is>
      </c>
      <c r="E461" t="inlineStr">
        <is>
          <t>KALMAR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58971-2023</t>
        </is>
      </c>
      <c r="B462" s="1" t="n">
        <v>45252</v>
      </c>
      <c r="C462" s="1" t="n">
        <v>46194</v>
      </c>
      <c r="D462" t="inlineStr">
        <is>
          <t>KALMAR LÄN</t>
        </is>
      </c>
      <c r="E462" t="inlineStr">
        <is>
          <t>KALMAR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6142-2026</t>
        </is>
      </c>
      <c r="B463" s="1" t="n">
        <v>46054</v>
      </c>
      <c r="C463" s="1" t="n">
        <v>46194</v>
      </c>
      <c r="D463" t="inlineStr">
        <is>
          <t>KALMAR LÄN</t>
        </is>
      </c>
      <c r="E463" t="inlineStr">
        <is>
          <t>KALMAR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6144-2026</t>
        </is>
      </c>
      <c r="B464" s="1" t="n">
        <v>46054</v>
      </c>
      <c r="C464" s="1" t="n">
        <v>46194</v>
      </c>
      <c r="D464" t="inlineStr">
        <is>
          <t>KALMAR LÄN</t>
        </is>
      </c>
      <c r="E464" t="inlineStr">
        <is>
          <t>KALMAR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40583-2023</t>
        </is>
      </c>
      <c r="B465" s="1" t="n">
        <v>45170</v>
      </c>
      <c r="C465" s="1" t="n">
        <v>46194</v>
      </c>
      <c r="D465" t="inlineStr">
        <is>
          <t>KALMAR LÄN</t>
        </is>
      </c>
      <c r="E465" t="inlineStr">
        <is>
          <t>KALMAR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7750-2023</t>
        </is>
      </c>
      <c r="B466" s="1" t="n">
        <v>44973</v>
      </c>
      <c r="C466" s="1" t="n">
        <v>46194</v>
      </c>
      <c r="D466" t="inlineStr">
        <is>
          <t>KALMAR LÄN</t>
        </is>
      </c>
      <c r="E466" t="inlineStr">
        <is>
          <t>KALMAR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8700-2024</t>
        </is>
      </c>
      <c r="B467" s="1" t="n">
        <v>45356</v>
      </c>
      <c r="C467" s="1" t="n">
        <v>46194</v>
      </c>
      <c r="D467" t="inlineStr">
        <is>
          <t>KALMAR LÄN</t>
        </is>
      </c>
      <c r="E467" t="inlineStr">
        <is>
          <t>KALMAR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46239-2022</t>
        </is>
      </c>
      <c r="B468" s="1" t="n">
        <v>44847</v>
      </c>
      <c r="C468" s="1" t="n">
        <v>46194</v>
      </c>
      <c r="D468" t="inlineStr">
        <is>
          <t>KALMAR LÄN</t>
        </is>
      </c>
      <c r="E468" t="inlineStr">
        <is>
          <t>KALMAR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23664-2024</t>
        </is>
      </c>
      <c r="B469" s="1" t="n">
        <v>45454</v>
      </c>
      <c r="C469" s="1" t="n">
        <v>46194</v>
      </c>
      <c r="D469" t="inlineStr">
        <is>
          <t>KALMAR LÄN</t>
        </is>
      </c>
      <c r="E469" t="inlineStr">
        <is>
          <t>KALMAR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18804-2022</t>
        </is>
      </c>
      <c r="B470" s="1" t="n">
        <v>44690</v>
      </c>
      <c r="C470" s="1" t="n">
        <v>46194</v>
      </c>
      <c r="D470" t="inlineStr">
        <is>
          <t>KALMAR LÄN</t>
        </is>
      </c>
      <c r="E470" t="inlineStr">
        <is>
          <t>KALMAR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7812-2024</t>
        </is>
      </c>
      <c r="B471" s="1" t="n">
        <v>45349</v>
      </c>
      <c r="C471" s="1" t="n">
        <v>46194</v>
      </c>
      <c r="D471" t="inlineStr">
        <is>
          <t>KALMAR LÄN</t>
        </is>
      </c>
      <c r="E471" t="inlineStr">
        <is>
          <t>KALMAR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7711-2026</t>
        </is>
      </c>
      <c r="B472" s="1" t="n">
        <v>46062</v>
      </c>
      <c r="C472" s="1" t="n">
        <v>46194</v>
      </c>
      <c r="D472" t="inlineStr">
        <is>
          <t>KALMAR LÄN</t>
        </is>
      </c>
      <c r="E472" t="inlineStr">
        <is>
          <t>KALMAR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7939-2026</t>
        </is>
      </c>
      <c r="B473" s="1" t="n">
        <v>46063</v>
      </c>
      <c r="C473" s="1" t="n">
        <v>46194</v>
      </c>
      <c r="D473" t="inlineStr">
        <is>
          <t>KALMAR LÄN</t>
        </is>
      </c>
      <c r="E473" t="inlineStr">
        <is>
          <t>KALMAR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8121-2026</t>
        </is>
      </c>
      <c r="B474" s="1" t="n">
        <v>46063</v>
      </c>
      <c r="C474" s="1" t="n">
        <v>46194</v>
      </c>
      <c r="D474" t="inlineStr">
        <is>
          <t>KALMAR LÄN</t>
        </is>
      </c>
      <c r="E474" t="inlineStr">
        <is>
          <t>KALMAR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7931-2026</t>
        </is>
      </c>
      <c r="B475" s="1" t="n">
        <v>46063</v>
      </c>
      <c r="C475" s="1" t="n">
        <v>46194</v>
      </c>
      <c r="D475" t="inlineStr">
        <is>
          <t>KALMAR LÄN</t>
        </is>
      </c>
      <c r="E475" t="inlineStr">
        <is>
          <t>KALMAR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49757-2023</t>
        </is>
      </c>
      <c r="B476" s="1" t="n">
        <v>45212</v>
      </c>
      <c r="C476" s="1" t="n">
        <v>46194</v>
      </c>
      <c r="D476" t="inlineStr">
        <is>
          <t>KALMAR LÄN</t>
        </is>
      </c>
      <c r="E476" t="inlineStr">
        <is>
          <t>KALMAR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8117-2026</t>
        </is>
      </c>
      <c r="B477" s="1" t="n">
        <v>46063</v>
      </c>
      <c r="C477" s="1" t="n">
        <v>46194</v>
      </c>
      <c r="D477" t="inlineStr">
        <is>
          <t>KALMAR LÄN</t>
        </is>
      </c>
      <c r="E477" t="inlineStr">
        <is>
          <t>KALMAR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13734-2023</t>
        </is>
      </c>
      <c r="B478" s="1" t="n">
        <v>45007</v>
      </c>
      <c r="C478" s="1" t="n">
        <v>46194</v>
      </c>
      <c r="D478" t="inlineStr">
        <is>
          <t>KALMAR LÄN</t>
        </is>
      </c>
      <c r="E478" t="inlineStr">
        <is>
          <t>KALMAR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13735-2023</t>
        </is>
      </c>
      <c r="B479" s="1" t="n">
        <v>45007</v>
      </c>
      <c r="C479" s="1" t="n">
        <v>46194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62025-2023</t>
        </is>
      </c>
      <c r="B480" s="1" t="n">
        <v>45266</v>
      </c>
      <c r="C480" s="1" t="n">
        <v>46194</v>
      </c>
      <c r="D480" t="inlineStr">
        <is>
          <t>KALMAR LÄN</t>
        </is>
      </c>
      <c r="E480" t="inlineStr">
        <is>
          <t>KALMAR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4025-2024</t>
        </is>
      </c>
      <c r="B481" s="1" t="n">
        <v>45323</v>
      </c>
      <c r="C481" s="1" t="n">
        <v>46194</v>
      </c>
      <c r="D481" t="inlineStr">
        <is>
          <t>KALMAR LÄN</t>
        </is>
      </c>
      <c r="E481" t="inlineStr">
        <is>
          <t>KALMAR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8873-2026</t>
        </is>
      </c>
      <c r="B482" s="1" t="n">
        <v>46066</v>
      </c>
      <c r="C482" s="1" t="n">
        <v>46194</v>
      </c>
      <c r="D482" t="inlineStr">
        <is>
          <t>KALMAR LÄN</t>
        </is>
      </c>
      <c r="E482" t="inlineStr">
        <is>
          <t>KALMAR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9210-2026</t>
        </is>
      </c>
      <c r="B483" s="1" t="n">
        <v>46070</v>
      </c>
      <c r="C483" s="1" t="n">
        <v>46194</v>
      </c>
      <c r="D483" t="inlineStr">
        <is>
          <t>KALMAR LÄN</t>
        </is>
      </c>
      <c r="E483" t="inlineStr">
        <is>
          <t>KALMAR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9179-2026</t>
        </is>
      </c>
      <c r="B484" s="1" t="n">
        <v>46070</v>
      </c>
      <c r="C484" s="1" t="n">
        <v>46194</v>
      </c>
      <c r="D484" t="inlineStr">
        <is>
          <t>KALMAR LÄN</t>
        </is>
      </c>
      <c r="E484" t="inlineStr">
        <is>
          <t>KALMAR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5930-2023</t>
        </is>
      </c>
      <c r="B485" s="1" t="n">
        <v>44963</v>
      </c>
      <c r="C485" s="1" t="n">
        <v>46194</v>
      </c>
      <c r="D485" t="inlineStr">
        <is>
          <t>KALMAR LÄN</t>
        </is>
      </c>
      <c r="E485" t="inlineStr">
        <is>
          <t>KALMAR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5941-2023</t>
        </is>
      </c>
      <c r="B486" s="1" t="n">
        <v>44963</v>
      </c>
      <c r="C486" s="1" t="n">
        <v>46194</v>
      </c>
      <c r="D486" t="inlineStr">
        <is>
          <t>KALMAR LÄN</t>
        </is>
      </c>
      <c r="E486" t="inlineStr">
        <is>
          <t>KALMAR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9367-2026</t>
        </is>
      </c>
      <c r="B487" s="1" t="n">
        <v>46070</v>
      </c>
      <c r="C487" s="1" t="n">
        <v>46194</v>
      </c>
      <c r="D487" t="inlineStr">
        <is>
          <t>KALMAR LÄN</t>
        </is>
      </c>
      <c r="E487" t="inlineStr">
        <is>
          <t>KALMAR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9370-2026</t>
        </is>
      </c>
      <c r="B488" s="1" t="n">
        <v>46070</v>
      </c>
      <c r="C488" s="1" t="n">
        <v>46194</v>
      </c>
      <c r="D488" t="inlineStr">
        <is>
          <t>KALMAR LÄN</t>
        </is>
      </c>
      <c r="E488" t="inlineStr">
        <is>
          <t>KALMAR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26984-2023</t>
        </is>
      </c>
      <c r="B489" s="1" t="n">
        <v>45093</v>
      </c>
      <c r="C489" s="1" t="n">
        <v>46194</v>
      </c>
      <c r="D489" t="inlineStr">
        <is>
          <t>KALMAR LÄN</t>
        </is>
      </c>
      <c r="E489" t="inlineStr">
        <is>
          <t>KALMAR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53389-2023</t>
        </is>
      </c>
      <c r="B490" s="1" t="n">
        <v>45229</v>
      </c>
      <c r="C490" s="1" t="n">
        <v>46194</v>
      </c>
      <c r="D490" t="inlineStr">
        <is>
          <t>KALMAR LÄN</t>
        </is>
      </c>
      <c r="E490" t="inlineStr">
        <is>
          <t>KALMAR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11340-2026</t>
        </is>
      </c>
      <c r="B491" s="1" t="n">
        <v>46082</v>
      </c>
      <c r="C491" s="1" t="n">
        <v>46194</v>
      </c>
      <c r="D491" t="inlineStr">
        <is>
          <t>KALMAR LÄN</t>
        </is>
      </c>
      <c r="E491" t="inlineStr">
        <is>
          <t>KALMAR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49878-2022</t>
        </is>
      </c>
      <c r="B492" s="1" t="n">
        <v>44864</v>
      </c>
      <c r="C492" s="1" t="n">
        <v>46194</v>
      </c>
      <c r="D492" t="inlineStr">
        <is>
          <t>KALMAR LÄN</t>
        </is>
      </c>
      <c r="E492" t="inlineStr">
        <is>
          <t>KALMAR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1903-2024</t>
        </is>
      </c>
      <c r="B493" s="1" t="n">
        <v>45308</v>
      </c>
      <c r="C493" s="1" t="n">
        <v>46194</v>
      </c>
      <c r="D493" t="inlineStr">
        <is>
          <t>KALMAR LÄN</t>
        </is>
      </c>
      <c r="E493" t="inlineStr">
        <is>
          <t>KALMAR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49415-2024</t>
        </is>
      </c>
      <c r="B494" s="1" t="n">
        <v>45595</v>
      </c>
      <c r="C494" s="1" t="n">
        <v>46194</v>
      </c>
      <c r="D494" t="inlineStr">
        <is>
          <t>KALMAR LÄN</t>
        </is>
      </c>
      <c r="E494" t="inlineStr">
        <is>
          <t>KALMAR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15246-2022</t>
        </is>
      </c>
      <c r="B495" s="1" t="n">
        <v>44658</v>
      </c>
      <c r="C495" s="1" t="n">
        <v>46194</v>
      </c>
      <c r="D495" t="inlineStr">
        <is>
          <t>KALMAR LÄN</t>
        </is>
      </c>
      <c r="E495" t="inlineStr">
        <is>
          <t>KALMAR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12933-2026</t>
        </is>
      </c>
      <c r="B496" s="1" t="n">
        <v>46092</v>
      </c>
      <c r="C496" s="1" t="n">
        <v>46194</v>
      </c>
      <c r="D496" t="inlineStr">
        <is>
          <t>KALMAR LÄN</t>
        </is>
      </c>
      <c r="E496" t="inlineStr">
        <is>
          <t>KALMAR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12876-2026</t>
        </is>
      </c>
      <c r="B497" s="1" t="n">
        <v>46092</v>
      </c>
      <c r="C497" s="1" t="n">
        <v>46194</v>
      </c>
      <c r="D497" t="inlineStr">
        <is>
          <t>KALMAR LÄN</t>
        </is>
      </c>
      <c r="E497" t="inlineStr">
        <is>
          <t>KALMAR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13149-2026</t>
        </is>
      </c>
      <c r="B498" s="1" t="n">
        <v>46093</v>
      </c>
      <c r="C498" s="1" t="n">
        <v>46194</v>
      </c>
      <c r="D498" t="inlineStr">
        <is>
          <t>KALMAR LÄN</t>
        </is>
      </c>
      <c r="E498" t="inlineStr">
        <is>
          <t>KALMAR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48337-2022</t>
        </is>
      </c>
      <c r="B499" s="1" t="n">
        <v>44858</v>
      </c>
      <c r="C499" s="1" t="n">
        <v>46194</v>
      </c>
      <c r="D499" t="inlineStr">
        <is>
          <t>KALMAR LÄN</t>
        </is>
      </c>
      <c r="E499" t="inlineStr">
        <is>
          <t>KALMAR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6012-2024</t>
        </is>
      </c>
      <c r="B500" s="1" t="n">
        <v>45336</v>
      </c>
      <c r="C500" s="1" t="n">
        <v>46194</v>
      </c>
      <c r="D500" t="inlineStr">
        <is>
          <t>KALMAR LÄN</t>
        </is>
      </c>
      <c r="E500" t="inlineStr">
        <is>
          <t>KALMAR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34228-2024</t>
        </is>
      </c>
      <c r="B501" s="1" t="n">
        <v>45524</v>
      </c>
      <c r="C501" s="1" t="n">
        <v>46194</v>
      </c>
      <c r="D501" t="inlineStr">
        <is>
          <t>KALMAR LÄN</t>
        </is>
      </c>
      <c r="E501" t="inlineStr">
        <is>
          <t>KALMAR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22131-2022</t>
        </is>
      </c>
      <c r="B502" s="1" t="n">
        <v>44712</v>
      </c>
      <c r="C502" s="1" t="n">
        <v>46194</v>
      </c>
      <c r="D502" t="inlineStr">
        <is>
          <t>KALMAR LÄN</t>
        </is>
      </c>
      <c r="E502" t="inlineStr">
        <is>
          <t>KALMAR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36260-2022</t>
        </is>
      </c>
      <c r="B503" s="1" t="n">
        <v>44803</v>
      </c>
      <c r="C503" s="1" t="n">
        <v>46194</v>
      </c>
      <c r="D503" t="inlineStr">
        <is>
          <t>KALMAR LÄN</t>
        </is>
      </c>
      <c r="E503" t="inlineStr">
        <is>
          <t>KALMAR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8735-2023</t>
        </is>
      </c>
      <c r="B504" s="1" t="n">
        <v>44978</v>
      </c>
      <c r="C504" s="1" t="n">
        <v>46194</v>
      </c>
      <c r="D504" t="inlineStr">
        <is>
          <t>KALMAR LÄN</t>
        </is>
      </c>
      <c r="E504" t="inlineStr">
        <is>
          <t>KALMAR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14269-2026</t>
        </is>
      </c>
      <c r="B505" s="1" t="n">
        <v>46099</v>
      </c>
      <c r="C505" s="1" t="n">
        <v>46194</v>
      </c>
      <c r="D505" t="inlineStr">
        <is>
          <t>KALMAR LÄN</t>
        </is>
      </c>
      <c r="E505" t="inlineStr">
        <is>
          <t>KALMAR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14264-2026</t>
        </is>
      </c>
      <c r="B506" s="1" t="n">
        <v>46099</v>
      </c>
      <c r="C506" s="1" t="n">
        <v>46194</v>
      </c>
      <c r="D506" t="inlineStr">
        <is>
          <t>KALMAR LÄN</t>
        </is>
      </c>
      <c r="E506" t="inlineStr">
        <is>
          <t>KALMAR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1940-2023</t>
        </is>
      </c>
      <c r="B507" s="1" t="n">
        <v>44939</v>
      </c>
      <c r="C507" s="1" t="n">
        <v>46194</v>
      </c>
      <c r="D507" t="inlineStr">
        <is>
          <t>KALMAR LÄN</t>
        </is>
      </c>
      <c r="E507" t="inlineStr">
        <is>
          <t>KALMAR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16121-2026</t>
        </is>
      </c>
      <c r="B508" s="1" t="n">
        <v>46108</v>
      </c>
      <c r="C508" s="1" t="n">
        <v>46194</v>
      </c>
      <c r="D508" t="inlineStr">
        <is>
          <t>KALMAR LÄN</t>
        </is>
      </c>
      <c r="E508" t="inlineStr">
        <is>
          <t>KALMAR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16401-2026</t>
        </is>
      </c>
      <c r="B509" s="1" t="n">
        <v>46111</v>
      </c>
      <c r="C509" s="1" t="n">
        <v>46194</v>
      </c>
      <c r="D509" t="inlineStr">
        <is>
          <t>KALMAR LÄN</t>
        </is>
      </c>
      <c r="E509" t="inlineStr">
        <is>
          <t>KALMAR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16395-2026</t>
        </is>
      </c>
      <c r="B510" s="1" t="n">
        <v>46111</v>
      </c>
      <c r="C510" s="1" t="n">
        <v>46194</v>
      </c>
      <c r="D510" t="inlineStr">
        <is>
          <t>KALMAR LÄN</t>
        </is>
      </c>
      <c r="E510" t="inlineStr">
        <is>
          <t>KALMAR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22598-2026</t>
        </is>
      </c>
      <c r="B511" s="1" t="n">
        <v>46155</v>
      </c>
      <c r="C511" s="1" t="n">
        <v>46194</v>
      </c>
      <c r="D511" t="inlineStr">
        <is>
          <t>KALMAR LÄN</t>
        </is>
      </c>
      <c r="E511" t="inlineStr">
        <is>
          <t>KALMAR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22314-2026</t>
        </is>
      </c>
      <c r="B512" s="1" t="n">
        <v>46154</v>
      </c>
      <c r="C512" s="1" t="n">
        <v>46194</v>
      </c>
      <c r="D512" t="inlineStr">
        <is>
          <t>KALMAR LÄN</t>
        </is>
      </c>
      <c r="E512" t="inlineStr">
        <is>
          <t>KALMAR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22593-2026</t>
        </is>
      </c>
      <c r="B513" s="1" t="n">
        <v>46155</v>
      </c>
      <c r="C513" s="1" t="n">
        <v>46194</v>
      </c>
      <c r="D513" t="inlineStr">
        <is>
          <t>KALMAR LÄN</t>
        </is>
      </c>
      <c r="E513" t="inlineStr">
        <is>
          <t>KALMAR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16504-2026</t>
        </is>
      </c>
      <c r="B514" s="1" t="n">
        <v>46112</v>
      </c>
      <c r="C514" s="1" t="n">
        <v>46194</v>
      </c>
      <c r="D514" t="inlineStr">
        <is>
          <t>KALMAR LÄN</t>
        </is>
      </c>
      <c r="E514" t="inlineStr">
        <is>
          <t>KALMAR</t>
        </is>
      </c>
      <c r="G514" t="n">
        <v>9.199999999999999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22544-2026</t>
        </is>
      </c>
      <c r="B515" s="1" t="n">
        <v>46155</v>
      </c>
      <c r="C515" s="1" t="n">
        <v>46194</v>
      </c>
      <c r="D515" t="inlineStr">
        <is>
          <t>KALMAR LÄN</t>
        </is>
      </c>
      <c r="E515" t="inlineStr">
        <is>
          <t>KALMAR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17352-2026</t>
        </is>
      </c>
      <c r="B516" s="1" t="n">
        <v>46119</v>
      </c>
      <c r="C516" s="1" t="n">
        <v>46194</v>
      </c>
      <c r="D516" t="inlineStr">
        <is>
          <t>KALMAR LÄN</t>
        </is>
      </c>
      <c r="E516" t="inlineStr">
        <is>
          <t>KALMAR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22933-2026</t>
        </is>
      </c>
      <c r="B517" s="1" t="n">
        <v>46160</v>
      </c>
      <c r="C517" s="1" t="n">
        <v>46194</v>
      </c>
      <c r="D517" t="inlineStr">
        <is>
          <t>KALMAR LÄN</t>
        </is>
      </c>
      <c r="E517" t="inlineStr">
        <is>
          <t>KALMAR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17381-2026</t>
        </is>
      </c>
      <c r="B518" s="1" t="n">
        <v>46119</v>
      </c>
      <c r="C518" s="1" t="n">
        <v>46194</v>
      </c>
      <c r="D518" t="inlineStr">
        <is>
          <t>KALMAR LÄN</t>
        </is>
      </c>
      <c r="E518" t="inlineStr">
        <is>
          <t>KALMAR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22935-2026</t>
        </is>
      </c>
      <c r="B519" s="1" t="n">
        <v>46160</v>
      </c>
      <c r="C519" s="1" t="n">
        <v>46194</v>
      </c>
      <c r="D519" t="inlineStr">
        <is>
          <t>KALMAR LÄN</t>
        </is>
      </c>
      <c r="E519" t="inlineStr">
        <is>
          <t>KALMAR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23300-2026</t>
        </is>
      </c>
      <c r="B520" s="1" t="n">
        <v>46162</v>
      </c>
      <c r="C520" s="1" t="n">
        <v>46194</v>
      </c>
      <c r="D520" t="inlineStr">
        <is>
          <t>KALMAR LÄN</t>
        </is>
      </c>
      <c r="E520" t="inlineStr">
        <is>
          <t>KALMAR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23304-2026</t>
        </is>
      </c>
      <c r="B521" s="1" t="n">
        <v>46162</v>
      </c>
      <c r="C521" s="1" t="n">
        <v>46194</v>
      </c>
      <c r="D521" t="inlineStr">
        <is>
          <t>KALMAR LÄN</t>
        </is>
      </c>
      <c r="E521" t="inlineStr">
        <is>
          <t>KALMAR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23297-2026</t>
        </is>
      </c>
      <c r="B522" s="1" t="n">
        <v>46162</v>
      </c>
      <c r="C522" s="1" t="n">
        <v>46194</v>
      </c>
      <c r="D522" t="inlineStr">
        <is>
          <t>KALMAR LÄN</t>
        </is>
      </c>
      <c r="E522" t="inlineStr">
        <is>
          <t>KALMAR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24053-2026</t>
        </is>
      </c>
      <c r="B523" s="1" t="n">
        <v>46168</v>
      </c>
      <c r="C523" s="1" t="n">
        <v>46194</v>
      </c>
      <c r="D523" t="inlineStr">
        <is>
          <t>KALMAR LÄN</t>
        </is>
      </c>
      <c r="E523" t="inlineStr">
        <is>
          <t>KALMAR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19600-2026</t>
        </is>
      </c>
      <c r="B524" s="1" t="n">
        <v>46134</v>
      </c>
      <c r="C524" s="1" t="n">
        <v>46194</v>
      </c>
      <c r="D524" t="inlineStr">
        <is>
          <t>KALMAR LÄN</t>
        </is>
      </c>
      <c r="E524" t="inlineStr">
        <is>
          <t>KALMAR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19592-2026</t>
        </is>
      </c>
      <c r="B525" s="1" t="n">
        <v>46134</v>
      </c>
      <c r="C525" s="1" t="n">
        <v>46194</v>
      </c>
      <c r="D525" t="inlineStr">
        <is>
          <t>KALMAR LÄN</t>
        </is>
      </c>
      <c r="E525" t="inlineStr">
        <is>
          <t>KALMAR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2318-2026</t>
        </is>
      </c>
      <c r="B526" s="1" t="n">
        <v>46036</v>
      </c>
      <c r="C526" s="1" t="n">
        <v>46194</v>
      </c>
      <c r="D526" t="inlineStr">
        <is>
          <t>KALMAR LÄN</t>
        </is>
      </c>
      <c r="E526" t="inlineStr">
        <is>
          <t>KALMAR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25562-2026</t>
        </is>
      </c>
      <c r="B527" s="1" t="n">
        <v>46177</v>
      </c>
      <c r="C527" s="1" t="n">
        <v>46194</v>
      </c>
      <c r="D527" t="inlineStr">
        <is>
          <t>KALMAR LÄN</t>
        </is>
      </c>
      <c r="E527" t="inlineStr">
        <is>
          <t>KALMAR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62984-2025</t>
        </is>
      </c>
      <c r="B528" s="1" t="n">
        <v>46009</v>
      </c>
      <c r="C528" s="1" t="n">
        <v>46194</v>
      </c>
      <c r="D528" t="inlineStr">
        <is>
          <t>KALMAR LÄN</t>
        </is>
      </c>
      <c r="E528" t="inlineStr">
        <is>
          <t>KALMAR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4762-2025</t>
        </is>
      </c>
      <c r="B529" s="1" t="n">
        <v>45688</v>
      </c>
      <c r="C529" s="1" t="n">
        <v>46194</v>
      </c>
      <c r="D529" t="inlineStr">
        <is>
          <t>KALMAR LÄN</t>
        </is>
      </c>
      <c r="E529" t="inlineStr">
        <is>
          <t>KALMAR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18875-2025</t>
        </is>
      </c>
      <c r="B530" s="1" t="n">
        <v>45764</v>
      </c>
      <c r="C530" s="1" t="n">
        <v>46194</v>
      </c>
      <c r="D530" t="inlineStr">
        <is>
          <t>KALMAR LÄN</t>
        </is>
      </c>
      <c r="E530" t="inlineStr">
        <is>
          <t>KALMAR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45708-2025</t>
        </is>
      </c>
      <c r="B531" s="1" t="n">
        <v>45923</v>
      </c>
      <c r="C531" s="1" t="n">
        <v>46194</v>
      </c>
      <c r="D531" t="inlineStr">
        <is>
          <t>KALMAR LÄN</t>
        </is>
      </c>
      <c r="E531" t="inlineStr">
        <is>
          <t>KALMAR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4769-2025</t>
        </is>
      </c>
      <c r="B532" s="1" t="n">
        <v>45688</v>
      </c>
      <c r="C532" s="1" t="n">
        <v>46194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50937-2025</t>
        </is>
      </c>
      <c r="B533" s="1" t="n">
        <v>45946</v>
      </c>
      <c r="C533" s="1" t="n">
        <v>46194</v>
      </c>
      <c r="D533" t="inlineStr">
        <is>
          <t>KALMAR LÄN</t>
        </is>
      </c>
      <c r="E533" t="inlineStr">
        <is>
          <t>KALMAR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25749-2026</t>
        </is>
      </c>
      <c r="B534" s="1" t="n">
        <v>46178</v>
      </c>
      <c r="C534" s="1" t="n">
        <v>46194</v>
      </c>
      <c r="D534" t="inlineStr">
        <is>
          <t>KALMAR LÄN</t>
        </is>
      </c>
      <c r="E534" t="inlineStr">
        <is>
          <t>KALMAR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44206-2025</t>
        </is>
      </c>
      <c r="B535" s="1" t="n">
        <v>45915</v>
      </c>
      <c r="C535" s="1" t="n">
        <v>46194</v>
      </c>
      <c r="D535" t="inlineStr">
        <is>
          <t>KALMAR LÄN</t>
        </is>
      </c>
      <c r="E535" t="inlineStr">
        <is>
          <t>KALMAR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20183-2026</t>
        </is>
      </c>
      <c r="B536" s="1" t="n">
        <v>46139</v>
      </c>
      <c r="C536" s="1" t="n">
        <v>46194</v>
      </c>
      <c r="D536" t="inlineStr">
        <is>
          <t>KALMAR LÄN</t>
        </is>
      </c>
      <c r="E536" t="inlineStr">
        <is>
          <t>KALMAR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1653-2022</t>
        </is>
      </c>
      <c r="B537" s="1" t="n">
        <v>44574</v>
      </c>
      <c r="C537" s="1" t="n">
        <v>46194</v>
      </c>
      <c r="D537" t="inlineStr">
        <is>
          <t>KALMAR LÄN</t>
        </is>
      </c>
      <c r="E537" t="inlineStr">
        <is>
          <t>KALMAR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10041-2025</t>
        </is>
      </c>
      <c r="B538" s="1" t="n">
        <v>45719</v>
      </c>
      <c r="C538" s="1" t="n">
        <v>46194</v>
      </c>
      <c r="D538" t="inlineStr">
        <is>
          <t>KALMAR LÄN</t>
        </is>
      </c>
      <c r="E538" t="inlineStr">
        <is>
          <t>KALMAR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2026-06-21T00:45:28Z</dcterms:created>
  <dcterms:modified xmlns:dcterms="http://purl.org/dc/terms/" xmlns:xsi="http://www.w3.org/2001/XMLSchema-instance" xsi:type="dcterms:W3CDTF">2026-06-21T00:45:28Z</dcterms:modified>
</cp:coreProperties>
</file>