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45826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45826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45826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45826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45826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45826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45826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45826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45826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45826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45826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45826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45826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45826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45826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45826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45826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45826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45826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45826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45826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45826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45826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63949-2019</t>
        </is>
      </c>
      <c r="B25" s="1" t="n">
        <v>43796</v>
      </c>
      <c r="C25" s="1" t="n">
        <v>45826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Tornseglare
Entita
Gråkråka</t>
        </is>
      </c>
      <c r="S25">
        <f>HYPERLINK("https://klasma.github.io/Logging_0880/artfynd/A 63949-2019 artfynd.xlsx", "A 63949-2019")</f>
        <v/>
      </c>
      <c r="T25">
        <f>HYPERLINK("https://klasma.github.io/Logging_0880/kartor/A 63949-2019 karta.png", "A 63949-2019")</f>
        <v/>
      </c>
      <c r="V25">
        <f>HYPERLINK("https://klasma.github.io/Logging_0880/klagomål/A 63949-2019 FSC-klagomål.docx", "A 63949-2019")</f>
        <v/>
      </c>
      <c r="W25">
        <f>HYPERLINK("https://klasma.github.io/Logging_0880/klagomålsmail/A 63949-2019 FSC-klagomål mail.docx", "A 63949-2019")</f>
        <v/>
      </c>
      <c r="X25">
        <f>HYPERLINK("https://klasma.github.io/Logging_0880/tillsyn/A 63949-2019 tillsynsbegäran.docx", "A 63949-2019")</f>
        <v/>
      </c>
      <c r="Y25">
        <f>HYPERLINK("https://klasma.github.io/Logging_0880/tillsynsmail/A 63949-2019 tillsynsbegäran mail.docx", "A 63949-2019")</f>
        <v/>
      </c>
      <c r="Z25">
        <f>HYPERLINK("https://klasma.github.io/Logging_0880/fåglar/A 63949-2019 prioriterade fågelarter.docx", "A 63949-2019")</f>
        <v/>
      </c>
    </row>
    <row r="26" ht="15" customHeight="1">
      <c r="A26" t="inlineStr">
        <is>
          <t>A 48581-2020</t>
        </is>
      </c>
      <c r="B26" s="1" t="n">
        <v>44103</v>
      </c>
      <c r="C26" s="1" t="n">
        <v>45826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Blomkålssvamp
Tallfingersvamp</t>
        </is>
      </c>
      <c r="S26">
        <f>HYPERLINK("https://klasma.github.io/Logging_0880/artfynd/A 48581-2020 artfynd.xlsx", "A 48581-2020")</f>
        <v/>
      </c>
      <c r="T26">
        <f>HYPERLINK("https://klasma.github.io/Logging_0880/kartor/A 48581-2020 karta.png", "A 48581-2020")</f>
        <v/>
      </c>
      <c r="V26">
        <f>HYPERLINK("https://klasma.github.io/Logging_0880/klagomål/A 48581-2020 FSC-klagomål.docx", "A 48581-2020")</f>
        <v/>
      </c>
      <c r="W26">
        <f>HYPERLINK("https://klasma.github.io/Logging_0880/klagomålsmail/A 48581-2020 FSC-klagomål mail.docx", "A 48581-2020")</f>
        <v/>
      </c>
      <c r="X26">
        <f>HYPERLINK("https://klasma.github.io/Logging_0880/tillsyn/A 48581-2020 tillsynsbegäran.docx", "A 48581-2020")</f>
        <v/>
      </c>
      <c r="Y26">
        <f>HYPERLINK("https://klasma.github.io/Logging_0880/tillsynsmail/A 48581-2020 tillsynsbegäran mail.docx", "A 48581-2020")</f>
        <v/>
      </c>
    </row>
    <row r="27" ht="15" customHeight="1">
      <c r="A27" t="inlineStr">
        <is>
          <t>A 58919-2021</t>
        </is>
      </c>
      <c r="B27" s="1" t="n">
        <v>44489</v>
      </c>
      <c r="C27" s="1" t="n">
        <v>45826</v>
      </c>
      <c r="D27" t="inlineStr">
        <is>
          <t>KALMAR LÄN</t>
        </is>
      </c>
      <c r="E27" t="inlineStr">
        <is>
          <t>KALMAR</t>
        </is>
      </c>
      <c r="G27" t="n">
        <v>7</v>
      </c>
      <c r="H27" t="n">
        <v>1</v>
      </c>
      <c r="I27" t="n">
        <v>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Tallharticka
Knärot
Blomkålssvamp</t>
        </is>
      </c>
      <c r="S27">
        <f>HYPERLINK("https://klasma.github.io/Logging_0880/artfynd/A 58919-2021 artfynd.xlsx", "A 58919-2021")</f>
        <v/>
      </c>
      <c r="T27">
        <f>HYPERLINK("https://klasma.github.io/Logging_0880/kartor/A 58919-2021 karta.png", "A 58919-2021")</f>
        <v/>
      </c>
      <c r="U27">
        <f>HYPERLINK("https://klasma.github.io/Logging_0880/knärot/A 58919-2021 karta knärot.png", "A 58919-2021")</f>
        <v/>
      </c>
      <c r="V27">
        <f>HYPERLINK("https://klasma.github.io/Logging_0880/klagomål/A 58919-2021 FSC-klagomål.docx", "A 58919-2021")</f>
        <v/>
      </c>
      <c r="W27">
        <f>HYPERLINK("https://klasma.github.io/Logging_0880/klagomålsmail/A 58919-2021 FSC-klagomål mail.docx", "A 58919-2021")</f>
        <v/>
      </c>
      <c r="X27">
        <f>HYPERLINK("https://klasma.github.io/Logging_0880/tillsyn/A 58919-2021 tillsynsbegäran.docx", "A 58919-2021")</f>
        <v/>
      </c>
      <c r="Y27">
        <f>HYPERLINK("https://klasma.github.io/Logging_0880/tillsynsmail/A 58919-2021 tillsynsbegäran mail.docx", "A 58919-2021")</f>
        <v/>
      </c>
    </row>
    <row r="28" ht="15" customHeight="1">
      <c r="A28" t="inlineStr">
        <is>
          <t>A 1933-2022</t>
        </is>
      </c>
      <c r="B28" s="1" t="n">
        <v>44575</v>
      </c>
      <c r="C28" s="1" t="n">
        <v>45826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Brandticka
Grovticka</t>
        </is>
      </c>
      <c r="S28">
        <f>HYPERLINK("https://klasma.github.io/Logging_0880/artfynd/A 1933-2022 artfynd.xlsx", "A 1933-2022")</f>
        <v/>
      </c>
      <c r="T28">
        <f>HYPERLINK("https://klasma.github.io/Logging_0880/kartor/A 1933-2022 karta.png", "A 1933-2022")</f>
        <v/>
      </c>
      <c r="U28">
        <f>HYPERLINK("https://klasma.github.io/Logging_0880/knärot/A 1933-2022 karta knärot.png", "A 1933-2022")</f>
        <v/>
      </c>
      <c r="V28">
        <f>HYPERLINK("https://klasma.github.io/Logging_0880/klagomål/A 1933-2022 FSC-klagomål.docx", "A 1933-2022")</f>
        <v/>
      </c>
      <c r="W28">
        <f>HYPERLINK("https://klasma.github.io/Logging_0880/klagomålsmail/A 1933-2022 FSC-klagomål mail.docx", "A 1933-2022")</f>
        <v/>
      </c>
      <c r="X28">
        <f>HYPERLINK("https://klasma.github.io/Logging_0880/tillsyn/A 1933-2022 tillsynsbegäran.docx", "A 1933-2022")</f>
        <v/>
      </c>
      <c r="Y28">
        <f>HYPERLINK("https://klasma.github.io/Logging_0880/tillsynsmail/A 1933-2022 tillsynsbegäran mail.docx", "A 1933-2022")</f>
        <v/>
      </c>
    </row>
    <row r="29" ht="15" customHeight="1">
      <c r="A29" t="inlineStr">
        <is>
          <t>A 33057-2022</t>
        </is>
      </c>
      <c r="B29" s="1" t="n">
        <v>44785</v>
      </c>
      <c r="C29" s="1" t="n">
        <v>45826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Grovticka
Grönpyrola</t>
        </is>
      </c>
      <c r="S29">
        <f>HYPERLINK("https://klasma.github.io/Logging_0880/artfynd/A 33057-2022 artfynd.xlsx", "A 33057-2022")</f>
        <v/>
      </c>
      <c r="T29">
        <f>HYPERLINK("https://klasma.github.io/Logging_0880/kartor/A 33057-2022 karta.png", "A 33057-2022")</f>
        <v/>
      </c>
      <c r="V29">
        <f>HYPERLINK("https://klasma.github.io/Logging_0880/klagomål/A 33057-2022 FSC-klagomål.docx", "A 33057-2022")</f>
        <v/>
      </c>
      <c r="W29">
        <f>HYPERLINK("https://klasma.github.io/Logging_0880/klagomålsmail/A 33057-2022 FSC-klagomål mail.docx", "A 33057-2022")</f>
        <v/>
      </c>
      <c r="X29">
        <f>HYPERLINK("https://klasma.github.io/Logging_0880/tillsyn/A 33057-2022 tillsynsbegäran.docx", "A 33057-2022")</f>
        <v/>
      </c>
      <c r="Y29">
        <f>HYPERLINK("https://klasma.github.io/Logging_0880/tillsynsmail/A 33057-2022 tillsynsbegäran mail.docx", "A 33057-2022")</f>
        <v/>
      </c>
    </row>
    <row r="30" ht="15" customHeight="1">
      <c r="A30" t="inlineStr">
        <is>
          <t>A 41542-2022</t>
        </is>
      </c>
      <c r="B30" s="1" t="n">
        <v>44827</v>
      </c>
      <c r="C30" s="1" t="n">
        <v>45826</v>
      </c>
      <c r="D30" t="inlineStr">
        <is>
          <t>KALMAR LÄN</t>
        </is>
      </c>
      <c r="E30" t="inlineStr">
        <is>
          <t>KALMAR</t>
        </is>
      </c>
      <c r="G30" t="n">
        <v>29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Kopparödla
Vanlig snok</t>
        </is>
      </c>
      <c r="S30">
        <f>HYPERLINK("https://klasma.github.io/Logging_0880/artfynd/A 41542-2022 artfynd.xlsx", "A 41542-2022")</f>
        <v/>
      </c>
      <c r="T30">
        <f>HYPERLINK("https://klasma.github.io/Logging_0880/kartor/A 41542-2022 karta.png", "A 41542-2022")</f>
        <v/>
      </c>
      <c r="U30">
        <f>HYPERLINK("https://klasma.github.io/Logging_0880/knärot/A 41542-2022 karta knärot.png", "A 41542-2022")</f>
        <v/>
      </c>
      <c r="V30">
        <f>HYPERLINK("https://klasma.github.io/Logging_0880/klagomål/A 41542-2022 FSC-klagomål.docx", "A 41542-2022")</f>
        <v/>
      </c>
      <c r="W30">
        <f>HYPERLINK("https://klasma.github.io/Logging_0880/klagomålsmail/A 41542-2022 FSC-klagomål mail.docx", "A 41542-2022")</f>
        <v/>
      </c>
      <c r="X30">
        <f>HYPERLINK("https://klasma.github.io/Logging_0880/tillsyn/A 41542-2022 tillsynsbegäran.docx", "A 41542-2022")</f>
        <v/>
      </c>
      <c r="Y30">
        <f>HYPERLINK("https://klasma.github.io/Logging_0880/tillsynsmail/A 41542-2022 tillsynsbegäran mail.docx", "A 41542-2022")</f>
        <v/>
      </c>
    </row>
    <row r="31" ht="15" customHeight="1">
      <c r="A31" t="inlineStr">
        <is>
          <t>A 47451-2022</t>
        </is>
      </c>
      <c r="B31" s="1" t="n">
        <v>44853</v>
      </c>
      <c r="C31" s="1" t="n">
        <v>45826</v>
      </c>
      <c r="D31" t="inlineStr">
        <is>
          <t>KALMAR LÄN</t>
        </is>
      </c>
      <c r="E31" t="inlineStr">
        <is>
          <t>KALMAR</t>
        </is>
      </c>
      <c r="G31" t="n">
        <v>3.8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Murgröna</t>
        </is>
      </c>
      <c r="S31">
        <f>HYPERLINK("https://klasma.github.io/Logging_0880/artfynd/A 47451-2022 artfynd.xlsx", "A 47451-2022")</f>
        <v/>
      </c>
      <c r="T31">
        <f>HYPERLINK("https://klasma.github.io/Logging_0880/kartor/A 47451-2022 karta.png", "A 47451-2022")</f>
        <v/>
      </c>
      <c r="U31">
        <f>HYPERLINK("https://klasma.github.io/Logging_0880/knärot/A 47451-2022 karta knärot.png", "A 47451-2022")</f>
        <v/>
      </c>
      <c r="V31">
        <f>HYPERLINK("https://klasma.github.io/Logging_0880/klagomål/A 47451-2022 FSC-klagomål.docx", "A 47451-2022")</f>
        <v/>
      </c>
      <c r="W31">
        <f>HYPERLINK("https://klasma.github.io/Logging_0880/klagomålsmail/A 47451-2022 FSC-klagomål mail.docx", "A 47451-2022")</f>
        <v/>
      </c>
      <c r="X31">
        <f>HYPERLINK("https://klasma.github.io/Logging_0880/tillsyn/A 47451-2022 tillsynsbegäran.docx", "A 47451-2022")</f>
        <v/>
      </c>
      <c r="Y31">
        <f>HYPERLINK("https://klasma.github.io/Logging_0880/tillsynsmail/A 47451-2022 tillsynsbegäran mail.docx", "A 47451-2022")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45826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59457-2023</t>
        </is>
      </c>
      <c r="B33" s="1" t="n">
        <v>45254</v>
      </c>
      <c r="C33" s="1" t="n">
        <v>45826</v>
      </c>
      <c r="D33" t="inlineStr">
        <is>
          <t>KALMAR LÄN</t>
        </is>
      </c>
      <c r="E33" t="inlineStr">
        <is>
          <t>KALMAR</t>
        </is>
      </c>
      <c r="G33" t="n">
        <v>3.3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Solvända
Vårstarr
Nattviol</t>
        </is>
      </c>
      <c r="S33">
        <f>HYPERLINK("https://klasma.github.io/Logging_0880/artfynd/A 59457-2023 artfynd.xlsx", "A 59457-2023")</f>
        <v/>
      </c>
      <c r="T33">
        <f>HYPERLINK("https://klasma.github.io/Logging_0880/kartor/A 59457-2023 karta.png", "A 59457-2023")</f>
        <v/>
      </c>
      <c r="V33">
        <f>HYPERLINK("https://klasma.github.io/Logging_0880/klagomål/A 59457-2023 FSC-klagomål.docx", "A 59457-2023")</f>
        <v/>
      </c>
      <c r="W33">
        <f>HYPERLINK("https://klasma.github.io/Logging_0880/klagomålsmail/A 59457-2023 FSC-klagomål mail.docx", "A 59457-2023")</f>
        <v/>
      </c>
      <c r="X33">
        <f>HYPERLINK("https://klasma.github.io/Logging_0880/tillsyn/A 59457-2023 tillsynsbegäran.docx", "A 59457-2023")</f>
        <v/>
      </c>
      <c r="Y33">
        <f>HYPERLINK("https://klasma.github.io/Logging_0880/tillsynsmail/A 59457-2023 tillsynsbegäran mail.docx", "A 59457-2023")</f>
        <v/>
      </c>
    </row>
    <row r="34" ht="15" customHeight="1">
      <c r="A34" t="inlineStr">
        <is>
          <t>A 23182-2025</t>
        </is>
      </c>
      <c r="B34" s="1" t="n">
        <v>45791</v>
      </c>
      <c r="C34" s="1" t="n">
        <v>45826</v>
      </c>
      <c r="D34" t="inlineStr">
        <is>
          <t>KALMAR LÄN</t>
        </is>
      </c>
      <c r="E34" t="inlineStr">
        <is>
          <t>KALMAR</t>
        </is>
      </c>
      <c r="G34" t="n">
        <v>6.5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Mindre bastardsvärmare
Prydnadsbock
Nattviol</t>
        </is>
      </c>
      <c r="S34">
        <f>HYPERLINK("https://klasma.github.io/Logging_080880/artfynd/A 23182-2025 artfynd.xlsx", "A 23182-2025")</f>
        <v/>
      </c>
      <c r="T34">
        <f>HYPERLINK("https://klasma.github.io/Logging_080880/kartor/A 23182-2025 karta.png", "A 23182-2025")</f>
        <v/>
      </c>
      <c r="V34">
        <f>HYPERLINK("https://klasma.github.io/Logging_080880/klagomål/A 23182-2025 FSC-klagomål.docx", "A 23182-2025")</f>
        <v/>
      </c>
      <c r="W34">
        <f>HYPERLINK("https://klasma.github.io/Logging_080880/klagomålsmail/A 23182-2025 FSC-klagomål mail.docx", "A 23182-2025")</f>
        <v/>
      </c>
      <c r="X34">
        <f>HYPERLINK("https://klasma.github.io/Logging_080880/tillsyn/A 23182-2025 tillsynsbegäran.docx", "A 23182-2025")</f>
        <v/>
      </c>
      <c r="Y34">
        <f>HYPERLINK("https://klasma.github.io/Logging_080880/tillsynsmail/A 23182-2025 tillsynsbegäran mail.docx", "A 23182-2025")</f>
        <v/>
      </c>
    </row>
    <row r="35" ht="15" customHeight="1">
      <c r="A35" t="inlineStr">
        <is>
          <t>A 36829-2019</t>
        </is>
      </c>
      <c r="B35" s="1" t="n">
        <v>43674</v>
      </c>
      <c r="C35" s="1" t="n">
        <v>45826</v>
      </c>
      <c r="D35" t="inlineStr">
        <is>
          <t>KALMAR LÄN</t>
        </is>
      </c>
      <c r="E35" t="inlineStr">
        <is>
          <t>KALMAR</t>
        </is>
      </c>
      <c r="G35" t="n">
        <v>18.7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Ekskinn
Fällmossa</t>
        </is>
      </c>
      <c r="S35">
        <f>HYPERLINK("https://klasma.github.io/Logging_0880/artfynd/A 36829-2019 artfynd.xlsx", "A 36829-2019")</f>
        <v/>
      </c>
      <c r="T35">
        <f>HYPERLINK("https://klasma.github.io/Logging_0880/kartor/A 36829-2019 karta.png", "A 36829-2019")</f>
        <v/>
      </c>
      <c r="V35">
        <f>HYPERLINK("https://klasma.github.io/Logging_0880/klagomål/A 36829-2019 FSC-klagomål.docx", "A 36829-2019")</f>
        <v/>
      </c>
      <c r="W35">
        <f>HYPERLINK("https://klasma.github.io/Logging_0880/klagomålsmail/A 36829-2019 FSC-klagomål mail.docx", "A 36829-2019")</f>
        <v/>
      </c>
      <c r="X35">
        <f>HYPERLINK("https://klasma.github.io/Logging_0880/tillsyn/A 36829-2019 tillsynsbegäran.docx", "A 36829-2019")</f>
        <v/>
      </c>
      <c r="Y35">
        <f>HYPERLINK("https://klasma.github.io/Logging_0880/tillsynsmail/A 36829-2019 tillsynsbegäran mail.docx", "A 36829-2019")</f>
        <v/>
      </c>
    </row>
    <row r="36" ht="15" customHeight="1">
      <c r="A36" t="inlineStr">
        <is>
          <t>A 46727-2019</t>
        </is>
      </c>
      <c r="B36" s="1" t="n">
        <v>43719</v>
      </c>
      <c r="C36" s="1" t="n">
        <v>45826</v>
      </c>
      <c r="D36" t="inlineStr">
        <is>
          <t>KALMAR LÄN</t>
        </is>
      </c>
      <c r="E36" t="inlineStr">
        <is>
          <t>KALMAR</t>
        </is>
      </c>
      <c r="G36" t="n">
        <v>14.7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Murgröna
Blåsippa</t>
        </is>
      </c>
      <c r="S36">
        <f>HYPERLINK("https://klasma.github.io/Logging_0880/artfynd/A 46727-2019 artfynd.xlsx", "A 46727-2019")</f>
        <v/>
      </c>
      <c r="T36">
        <f>HYPERLINK("https://klasma.github.io/Logging_0880/kartor/A 46727-2019 karta.png", "A 46727-2019")</f>
        <v/>
      </c>
      <c r="V36">
        <f>HYPERLINK("https://klasma.github.io/Logging_0880/klagomål/A 46727-2019 FSC-klagomål.docx", "A 46727-2019")</f>
        <v/>
      </c>
      <c r="W36">
        <f>HYPERLINK("https://klasma.github.io/Logging_0880/klagomålsmail/A 46727-2019 FSC-klagomål mail.docx", "A 46727-2019")</f>
        <v/>
      </c>
      <c r="X36">
        <f>HYPERLINK("https://klasma.github.io/Logging_0880/tillsyn/A 46727-2019 tillsynsbegäran.docx", "A 46727-2019")</f>
        <v/>
      </c>
      <c r="Y36">
        <f>HYPERLINK("https://klasma.github.io/Logging_0880/tillsynsmail/A 46727-2019 tillsynsbegäran mail.docx", "A 46727-2019")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45826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45826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45826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45826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45826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45826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45826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45826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45826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45826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45826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45826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45826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45826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45826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45826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45826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45826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45826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45826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45826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45826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45826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45826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45826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45826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45826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45826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45826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45826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45826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45826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45826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45826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45826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45826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45826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45826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45826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45826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45826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45826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45826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45826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45826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45826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45826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45826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45826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45826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45826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45826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45826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45826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45826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45826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45826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45826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45826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45826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45826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45826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45826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45826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45826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45826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45826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45826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45826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45826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45826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45826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45826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45826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45826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45826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45826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45826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45826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45826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45826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45826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45826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45826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45826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45826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45826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45826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45826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45826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45826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45826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45826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45826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45826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45826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45826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45826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45826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45826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45826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45826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45826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45826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45826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45826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45826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45826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45826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45826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45826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45826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45826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45826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45826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45826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45826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45826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45826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45826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45826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45826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45826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45826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45826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45826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45826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45826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45826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45826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45826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45826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45826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45826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45826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45826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45826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45826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45826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45826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45826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45826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45826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45826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45826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45826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45826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45826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45826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45826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45826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45826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45826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45826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45826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45826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45826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45826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45826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45826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45826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45826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45826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45826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45826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45826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45826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45826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45826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45826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45826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45826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45826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45826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45826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45826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45826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45826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45826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45826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45826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45826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45826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45826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45826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45826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45826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45826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45826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45826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45826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45826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45826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45826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45826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45826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45826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45826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45826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45826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45826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45826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45826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45826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45826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45826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45826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45826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45826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45826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45826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45826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45826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45826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45826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45826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45826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45826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45826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45826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45826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45826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45826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45826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45826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45826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45826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45826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45826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45826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45826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45826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45826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45826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45826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45826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45826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45826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45826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45826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45826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45826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45826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45826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45826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45826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45826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45826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45826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45826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45826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45826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45826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45826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45826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45826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45826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45826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45826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45826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45826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45826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45826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45826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45826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45826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45826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45826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45826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45826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45826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45826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45826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45826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45826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45826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45826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45826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45826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45826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45826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45826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45826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45826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45826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45826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45826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45826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45826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45826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45826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45826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45826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45826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45826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45826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45826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45826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45826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45826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45826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45826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45826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45826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45826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45826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45826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45826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45826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45826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45826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45826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45826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45826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45826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45826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45826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45826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45826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45826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45826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45826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45826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45826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45826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45826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45826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45826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45826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45826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45826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45826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45826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45826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45826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45826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45826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45826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45826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45826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45826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45826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45826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45826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45826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45826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45826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45826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45826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45826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45826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45826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45826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45826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45826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45826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45826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45826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45826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45826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45826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45826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45826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45826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45826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45826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45826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45826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45826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45826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45826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45826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45826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45826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45826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45826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45826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45826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45826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45826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45826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45826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45826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45826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45826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45826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45826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45826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45826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45826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45826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45826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45826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45826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45826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45826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45826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45826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45826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45826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45826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45826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45826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45826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45826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45826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45826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45826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45826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45826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45826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45826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45826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45826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45826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45826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45826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45826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45826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45826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45826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45826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45826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45826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45826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45826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45826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45826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45826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45826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45826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45826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45826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45826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45826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45826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45826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45826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45826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45826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45826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45826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45826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45826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45826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45826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45826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45826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45826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45826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45826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45826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45826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45826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45826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45826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45826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45826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45826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45826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45826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45826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45826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45826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45826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45826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45826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45826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45826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45826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45826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45826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45826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45826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45826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45826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45826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45826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45826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45826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45826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45826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45826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45826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45826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45826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45826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45826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45826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45826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45826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45826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45826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45826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45826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45826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45826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45826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45826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45826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45826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45826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45826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45826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45826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45826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45826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45826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45826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45826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45826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45826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45826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45826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45826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45826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45826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45826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45826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45826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45826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45826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45826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45826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45826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45826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45826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45826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45826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45826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45826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45826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45826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45826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45826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45826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45826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45826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45826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45826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45826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45826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45826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45826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45826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45826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45826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45826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45826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45826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45826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45826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45826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45826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45826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45826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45826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45826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45826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45826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45826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45826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45826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45826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45826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45826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45826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45826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45826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45826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45826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45826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45826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45826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45826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45826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45826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45826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45826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45826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45826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45826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45826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45826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45826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45826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45826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45826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45826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45826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45826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45826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45826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45826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45826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45826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45826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45826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45826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45826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45826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45826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45826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45826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45826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45826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45826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45826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45826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45826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45826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45826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45826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45826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45826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45826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45826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45826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45826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45826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45826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45826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45826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45826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45826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45826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45826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45826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45826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45826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45826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45826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45826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45826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45826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45826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45826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45826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45826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45826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45826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45826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45826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45826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45826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45826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45826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45826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45826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45826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45826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45826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45826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45826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45826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45826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45826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45826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45826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45826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45826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45826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45826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45826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45826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45826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45826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45826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45826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45826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45826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45826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45826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45826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45826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45826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45826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45826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45826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45826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45826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45826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45826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45826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45826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45826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45826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45826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45826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45826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45826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45826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45826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45826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45826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45826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45826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45826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45826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45826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45826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45826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45826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45826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45826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45826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45826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45826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45826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45826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45826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45826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45826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45826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45826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45826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45826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45826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45826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45826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45826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45826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45826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45826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45826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45826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45826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45826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45826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45826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45826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45826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45826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45826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45826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45826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45826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45826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45826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45826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45826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45826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45826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45826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45826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45826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45826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45826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45826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45826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45826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45826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45826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45826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45826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45826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45826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45826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45826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45826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45826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45826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45826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45826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45826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45826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45826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45826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45826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45826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45826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45826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45826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45826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45826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45826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45826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45826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45826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45826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45826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45826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45826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45826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45826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45826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45826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45826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45826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45826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45826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45826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45826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45826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45826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45826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45826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45826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45826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45826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45826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45826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45826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45826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45826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45826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45826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45826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45826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45826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45826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45826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45826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45826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45826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45826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45826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45826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45826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45826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45826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45826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45826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45826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45826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45826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45826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45826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45826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45826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45826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45826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45826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45826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45826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45826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45826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45826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45826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45826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45826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45826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45826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45826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45826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45826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45826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45826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45826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45826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45826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45826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45826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45826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45826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45826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45826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45826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45826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45826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45826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45826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45826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45826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45826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45826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45826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45826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45826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45826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45826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45826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45826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45826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45826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45826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45826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45826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45826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45826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45826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45826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45826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45826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45826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45826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45826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45826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45826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45826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45826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45826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45826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45826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45826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45826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45826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45826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45826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45826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45826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45826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45826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45826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45826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45826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45826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45826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45826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45826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45826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45826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45826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45826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45826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45826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45826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45826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45826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45826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45826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45826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45826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45826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45826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45826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45826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45826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45826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45826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45826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45826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45826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45826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45826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45826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45826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45826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45826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45826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45826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45826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45826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45826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45826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45826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45826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45826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45826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45826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45826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45826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45826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45826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45826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45826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45826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45826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45826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45826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45826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45826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45826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45826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45826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45826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45826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45826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45826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45826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45826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45826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45826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45826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45826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45826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45826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45826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45826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45826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45826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45826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45826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45826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45826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45826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45826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45826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45826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45826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45826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45826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45826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45826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45826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45826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45826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45826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45826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45826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45826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45826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45826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45826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45826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45826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45826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45826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45826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45826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45826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45826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45826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45826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45826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45826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45826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45826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45826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45826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45826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45826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45826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45826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45826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45826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45826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45826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45826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45826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45826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45826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45826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45826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45826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45826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45826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45826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45826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45826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45826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45826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45826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45826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45826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45826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45826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45826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45826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45826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45826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45826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45826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45826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45826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45826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45826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45826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45826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45826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45826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45826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45826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45826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45826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45826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45826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45826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45826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45826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45826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45826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45826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45826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45826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45826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45826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45826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45826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45826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45826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45826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45826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45826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45826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45826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45826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45826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45826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45826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45826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45826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45826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45826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45826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45826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45826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45826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45826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45826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45826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45826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45826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45826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45826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45826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45826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45826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45826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45826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45826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45826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45826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45826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45826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45826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45826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45826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45826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45826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45826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45826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45826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45826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45826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45826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45826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45826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45826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45826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45826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45826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45826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45826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45826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45826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45826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45826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45826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45826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45826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45826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45826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45826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45826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45826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45826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45826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45826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45826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45826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45826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45826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45826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45826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45826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45826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45826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45826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45826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45826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45826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45826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45826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45826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45826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45826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45826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45826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45826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45826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45826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45826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45826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45826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45826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45826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45826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45826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45826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45826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45826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45826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45826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45826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45826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45826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45826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45826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45826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45826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45826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45826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45826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45826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45826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45826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45826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45826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45826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45826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45826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45826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45826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45826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45826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45826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45826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45826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45826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45826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45826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45826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45826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45826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45826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45826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45826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45826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45826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45826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45826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45826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45826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45826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45826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45826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45826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45826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45826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45826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45826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45826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45826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45826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45826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45826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45826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45826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45826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45826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45826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45826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45826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45826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45826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45826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45826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45826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45826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45826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45826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45826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45826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45826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45826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45826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45826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45826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45826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45826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45826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45826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45826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45826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45826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45826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45826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45826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45826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45826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45826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45826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45826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45826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45826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23565-2025</t>
        </is>
      </c>
      <c r="B1313" s="1" t="n">
        <v>45792</v>
      </c>
      <c r="C1313" s="1" t="n">
        <v>45826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23661-2025</t>
        </is>
      </c>
      <c r="B1314" s="1" t="n">
        <v>45792</v>
      </c>
      <c r="C1314" s="1" t="n">
        <v>45826</v>
      </c>
      <c r="D1314" t="inlineStr">
        <is>
          <t>KALMAR LÄN</t>
        </is>
      </c>
      <c r="E1314" t="inlineStr">
        <is>
          <t>KALMAR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23543-2025</t>
        </is>
      </c>
      <c r="B1315" s="1" t="n">
        <v>45792</v>
      </c>
      <c r="C1315" s="1" t="n">
        <v>45826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23561-2025</t>
        </is>
      </c>
      <c r="B1316" s="1" t="n">
        <v>45792</v>
      </c>
      <c r="C1316" s="1" t="n">
        <v>45826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24001-2025</t>
        </is>
      </c>
      <c r="B1317" s="1" t="n">
        <v>45796</v>
      </c>
      <c r="C1317" s="1" t="n">
        <v>45826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24002-2025</t>
        </is>
      </c>
      <c r="B1318" s="1" t="n">
        <v>45796</v>
      </c>
      <c r="C1318" s="1" t="n">
        <v>45826</v>
      </c>
      <c r="D1318" t="inlineStr">
        <is>
          <t>KALMAR LÄN</t>
        </is>
      </c>
      <c r="E1318" t="inlineStr">
        <is>
          <t>KALMAR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45826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45826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26322-2025</t>
        </is>
      </c>
      <c r="B1321" s="1" t="n">
        <v>45805</v>
      </c>
      <c r="C1321" s="1" t="n">
        <v>45826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26401-2025</t>
        </is>
      </c>
      <c r="B1322" s="1" t="n">
        <v>45807</v>
      </c>
      <c r="C1322" s="1" t="n">
        <v>45826</v>
      </c>
      <c r="D1322" t="inlineStr">
        <is>
          <t>KALMAR LÄN</t>
        </is>
      </c>
      <c r="E1322" t="inlineStr">
        <is>
          <t>KALMAR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27250-2025</t>
        </is>
      </c>
      <c r="B1323" s="1" t="n">
        <v>45812</v>
      </c>
      <c r="C1323" s="1" t="n">
        <v>45826</v>
      </c>
      <c r="D1323" t="inlineStr">
        <is>
          <t>KALMAR LÄN</t>
        </is>
      </c>
      <c r="E1323" t="inlineStr">
        <is>
          <t>KALMAR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27831-2025</t>
        </is>
      </c>
      <c r="B1324" s="1" t="n">
        <v>45817</v>
      </c>
      <c r="C1324" s="1" t="n">
        <v>45826</v>
      </c>
      <c r="D1324" t="inlineStr">
        <is>
          <t>KALMAR LÄN</t>
        </is>
      </c>
      <c r="E1324" t="inlineStr">
        <is>
          <t>KALMAR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28759-2025</t>
        </is>
      </c>
      <c r="B1325" s="1" t="n">
        <v>45820</v>
      </c>
      <c r="C1325" s="1" t="n">
        <v>45826</v>
      </c>
      <c r="D1325" t="inlineStr">
        <is>
          <t>KALMAR LÄN</t>
        </is>
      </c>
      <c r="E1325" t="inlineStr">
        <is>
          <t>KALMAR</t>
        </is>
      </c>
      <c r="F1325" t="inlineStr">
        <is>
          <t>Sveaskog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28763-2025</t>
        </is>
      </c>
      <c r="B1326" s="1" t="n">
        <v>45820</v>
      </c>
      <c r="C1326" s="1" t="n">
        <v>45826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29226-2025</t>
        </is>
      </c>
      <c r="B1327" s="1" t="n">
        <v>45824</v>
      </c>
      <c r="C1327" s="1" t="n">
        <v>45826</v>
      </c>
      <c r="D1327" t="inlineStr">
        <is>
          <t>KALMAR LÄN</t>
        </is>
      </c>
      <c r="E1327" t="inlineStr">
        <is>
          <t>KALMAR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29337-2025</t>
        </is>
      </c>
      <c r="B1328" s="1" t="n">
        <v>45824</v>
      </c>
      <c r="C1328" s="1" t="n">
        <v>45826</v>
      </c>
      <c r="D1328" t="inlineStr">
        <is>
          <t>KALMAR LÄN</t>
        </is>
      </c>
      <c r="E1328" t="inlineStr">
        <is>
          <t>KALMAR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29271-2025</t>
        </is>
      </c>
      <c r="B1329" s="1" t="n">
        <v>45824</v>
      </c>
      <c r="C1329" s="1" t="n">
        <v>45826</v>
      </c>
      <c r="D1329" t="inlineStr">
        <is>
          <t>KALMAR LÄN</t>
        </is>
      </c>
      <c r="E1329" t="inlineStr">
        <is>
          <t>KALMAR</t>
        </is>
      </c>
      <c r="F1329" t="inlineStr">
        <is>
          <t>Kommuner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29689-2025</t>
        </is>
      </c>
      <c r="B1330" s="1" t="n">
        <v>45825</v>
      </c>
      <c r="C1330" s="1" t="n">
        <v>45826</v>
      </c>
      <c r="D1330" t="inlineStr">
        <is>
          <t>KALMAR LÄN</t>
        </is>
      </c>
      <c r="E1330" t="inlineStr">
        <is>
          <t>KALMAR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2025-06-18T18:56:19Z</dcterms:created>
  <dcterms:modified xmlns:dcterms="http://purl.org/dc/terms/" xmlns:xsi="http://www.w3.org/2001/XMLSchema-instance" xsi:type="dcterms:W3CDTF">2025-06-18T18:56:20Z</dcterms:modified>
</cp:coreProperties>
</file>